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tza_\Documents\Demo\Demography_9219\"/>
    </mc:Choice>
  </mc:AlternateContent>
  <xr:revisionPtr revIDLastSave="0" documentId="8_{58586054-FE00-4417-859A-BBC0A171B5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se_nuevo_leon" sheetId="1" r:id="rId1"/>
    <sheet name="Resumen_EV" sheetId="2" r:id="rId2"/>
  </sheets>
  <calcPr calcId="181029"/>
</workbook>
</file>

<file path=xl/calcChain.xml><?xml version="1.0" encoding="utf-8"?>
<calcChain xmlns="http://schemas.openxmlformats.org/spreadsheetml/2006/main">
  <c r="P115" i="1" l="1"/>
  <c r="I115" i="1"/>
  <c r="H115" i="1"/>
  <c r="P114" i="1"/>
  <c r="H114" i="1"/>
  <c r="P113" i="1"/>
  <c r="H113" i="1"/>
  <c r="P112" i="1"/>
  <c r="H112" i="1"/>
  <c r="P111" i="1"/>
  <c r="H111" i="1"/>
  <c r="P110" i="1"/>
  <c r="H110" i="1"/>
  <c r="P109" i="1"/>
  <c r="H109" i="1"/>
  <c r="P108" i="1"/>
  <c r="H108" i="1"/>
  <c r="P107" i="1"/>
  <c r="H107" i="1"/>
  <c r="P106" i="1"/>
  <c r="H106" i="1"/>
  <c r="P105" i="1"/>
  <c r="H105" i="1"/>
  <c r="P104" i="1"/>
  <c r="H104" i="1"/>
  <c r="P103" i="1"/>
  <c r="H103" i="1"/>
  <c r="P102" i="1"/>
  <c r="H102" i="1"/>
  <c r="P101" i="1"/>
  <c r="H101" i="1"/>
  <c r="P100" i="1"/>
  <c r="H100" i="1"/>
  <c r="P99" i="1"/>
  <c r="H99" i="1"/>
  <c r="P98" i="1"/>
  <c r="H98" i="1"/>
  <c r="J97" i="1"/>
  <c r="H97" i="1"/>
  <c r="P96" i="1"/>
  <c r="I96" i="1"/>
  <c r="H96" i="1"/>
  <c r="P95" i="1"/>
  <c r="H95" i="1"/>
  <c r="P94" i="1"/>
  <c r="H94" i="1"/>
  <c r="P93" i="1"/>
  <c r="H93" i="1"/>
  <c r="P92" i="1"/>
  <c r="H92" i="1"/>
  <c r="P91" i="1"/>
  <c r="H91" i="1"/>
  <c r="P90" i="1"/>
  <c r="H90" i="1"/>
  <c r="P89" i="1"/>
  <c r="H89" i="1"/>
  <c r="P88" i="1"/>
  <c r="H88" i="1"/>
  <c r="P87" i="1"/>
  <c r="H87" i="1"/>
  <c r="P86" i="1"/>
  <c r="H86" i="1"/>
  <c r="P85" i="1"/>
  <c r="H85" i="1"/>
  <c r="P84" i="1"/>
  <c r="H84" i="1"/>
  <c r="P83" i="1"/>
  <c r="H83" i="1"/>
  <c r="P82" i="1"/>
  <c r="H82" i="1"/>
  <c r="P81" i="1"/>
  <c r="H81" i="1"/>
  <c r="P80" i="1"/>
  <c r="H80" i="1"/>
  <c r="P79" i="1"/>
  <c r="H79" i="1"/>
  <c r="J78" i="1"/>
  <c r="H78" i="1"/>
  <c r="P77" i="1"/>
  <c r="I77" i="1"/>
  <c r="H77" i="1"/>
  <c r="P76" i="1"/>
  <c r="H76" i="1"/>
  <c r="P75" i="1"/>
  <c r="H75" i="1"/>
  <c r="P74" i="1"/>
  <c r="H74" i="1"/>
  <c r="P73" i="1"/>
  <c r="H73" i="1"/>
  <c r="P72" i="1"/>
  <c r="H72" i="1"/>
  <c r="P71" i="1"/>
  <c r="H71" i="1"/>
  <c r="P70" i="1"/>
  <c r="H70" i="1"/>
  <c r="P69" i="1"/>
  <c r="H69" i="1"/>
  <c r="P68" i="1"/>
  <c r="H68" i="1"/>
  <c r="P67" i="1"/>
  <c r="H67" i="1"/>
  <c r="P66" i="1"/>
  <c r="H66" i="1"/>
  <c r="P65" i="1"/>
  <c r="H65" i="1"/>
  <c r="P64" i="1"/>
  <c r="H64" i="1"/>
  <c r="P63" i="1"/>
  <c r="H63" i="1"/>
  <c r="P62" i="1"/>
  <c r="H62" i="1"/>
  <c r="P61" i="1"/>
  <c r="H61" i="1"/>
  <c r="P60" i="1"/>
  <c r="H60" i="1"/>
  <c r="J59" i="1"/>
  <c r="H59" i="1"/>
  <c r="P58" i="1"/>
  <c r="I58" i="1"/>
  <c r="H58" i="1"/>
  <c r="P57" i="1"/>
  <c r="H57" i="1"/>
  <c r="P56" i="1"/>
  <c r="H56" i="1"/>
  <c r="P55" i="1"/>
  <c r="H55" i="1"/>
  <c r="P54" i="1"/>
  <c r="H54" i="1"/>
  <c r="P53" i="1"/>
  <c r="H53" i="1"/>
  <c r="P52" i="1"/>
  <c r="H52" i="1"/>
  <c r="P51" i="1"/>
  <c r="H51" i="1"/>
  <c r="P50" i="1"/>
  <c r="H50" i="1"/>
  <c r="P49" i="1"/>
  <c r="H49" i="1"/>
  <c r="P48" i="1"/>
  <c r="H48" i="1"/>
  <c r="P47" i="1"/>
  <c r="H47" i="1"/>
  <c r="P46" i="1"/>
  <c r="H46" i="1"/>
  <c r="P45" i="1"/>
  <c r="H45" i="1"/>
  <c r="P44" i="1"/>
  <c r="H44" i="1"/>
  <c r="P43" i="1"/>
  <c r="H43" i="1"/>
  <c r="P42" i="1"/>
  <c r="H42" i="1"/>
  <c r="P41" i="1"/>
  <c r="H41" i="1"/>
  <c r="J40" i="1"/>
  <c r="H40" i="1"/>
  <c r="P39" i="1"/>
  <c r="I39" i="1"/>
  <c r="H39" i="1"/>
  <c r="P38" i="1"/>
  <c r="H38" i="1"/>
  <c r="P37" i="1"/>
  <c r="H37" i="1"/>
  <c r="P36" i="1"/>
  <c r="H36" i="1"/>
  <c r="P35" i="1"/>
  <c r="H35" i="1"/>
  <c r="P34" i="1"/>
  <c r="H34" i="1"/>
  <c r="P33" i="1"/>
  <c r="I33" i="1"/>
  <c r="H33" i="1"/>
  <c r="P32" i="1"/>
  <c r="H32" i="1"/>
  <c r="P31" i="1"/>
  <c r="H31" i="1"/>
  <c r="P30" i="1"/>
  <c r="H30" i="1"/>
  <c r="P29" i="1"/>
  <c r="H29" i="1"/>
  <c r="P28" i="1"/>
  <c r="H28" i="1"/>
  <c r="P27" i="1"/>
  <c r="H27" i="1"/>
  <c r="P26" i="1"/>
  <c r="H26" i="1"/>
  <c r="P25" i="1"/>
  <c r="H25" i="1"/>
  <c r="P24" i="1"/>
  <c r="H24" i="1"/>
  <c r="P23" i="1"/>
  <c r="H23" i="1"/>
  <c r="P22" i="1"/>
  <c r="H22" i="1"/>
  <c r="J21" i="1"/>
  <c r="H21" i="1"/>
  <c r="P20" i="1"/>
  <c r="I20" i="1"/>
  <c r="H20" i="1"/>
  <c r="P19" i="1"/>
  <c r="H19" i="1"/>
  <c r="P18" i="1"/>
  <c r="H18" i="1"/>
  <c r="P17" i="1"/>
  <c r="H17" i="1"/>
  <c r="P16" i="1"/>
  <c r="H16" i="1"/>
  <c r="P15" i="1"/>
  <c r="H15" i="1"/>
  <c r="P14" i="1"/>
  <c r="H14" i="1"/>
  <c r="P13" i="1"/>
  <c r="H13" i="1"/>
  <c r="P12" i="1"/>
  <c r="H12" i="1"/>
  <c r="P11" i="1"/>
  <c r="H11" i="1"/>
  <c r="P10" i="1"/>
  <c r="I10" i="1"/>
  <c r="H10" i="1"/>
  <c r="P9" i="1"/>
  <c r="H9" i="1"/>
  <c r="P8" i="1"/>
  <c r="H8" i="1"/>
  <c r="P7" i="1"/>
  <c r="H7" i="1"/>
  <c r="P6" i="1"/>
  <c r="H6" i="1"/>
  <c r="P5" i="1"/>
  <c r="H5" i="1"/>
  <c r="P4" i="1"/>
  <c r="H4" i="1"/>
  <c r="P3" i="1"/>
  <c r="H3" i="1"/>
  <c r="J2" i="1"/>
  <c r="H2" i="1"/>
  <c r="I114" i="1" l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12" i="1"/>
  <c r="I8" i="1"/>
  <c r="I6" i="1"/>
  <c r="I5" i="1"/>
  <c r="I3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8" i="1"/>
  <c r="I37" i="1"/>
  <c r="I29" i="1"/>
  <c r="I27" i="1"/>
  <c r="I25" i="1"/>
  <c r="I23" i="1"/>
  <c r="I22" i="1"/>
  <c r="I17" i="1"/>
  <c r="I16" i="1"/>
  <c r="I13" i="1"/>
  <c r="I11" i="1"/>
  <c r="I9" i="1"/>
  <c r="I7" i="1"/>
  <c r="I2" i="1"/>
  <c r="I36" i="1"/>
  <c r="I35" i="1"/>
  <c r="I34" i="1"/>
  <c r="I32" i="1"/>
  <c r="I31" i="1"/>
  <c r="I30" i="1"/>
  <c r="I28" i="1"/>
  <c r="I26" i="1"/>
  <c r="I24" i="1"/>
  <c r="I21" i="1"/>
  <c r="I19" i="1"/>
  <c r="I18" i="1"/>
  <c r="I15" i="1"/>
  <c r="I14" i="1"/>
  <c r="I4" i="1"/>
  <c r="K2" i="1"/>
  <c r="K97" i="1" l="1"/>
  <c r="K78" i="1"/>
  <c r="K40" i="1"/>
  <c r="K21" i="1"/>
  <c r="J3" i="1"/>
  <c r="L2" i="1"/>
  <c r="K59" i="1"/>
  <c r="L97" i="1" l="1"/>
  <c r="J98" i="1"/>
  <c r="L78" i="1"/>
  <c r="J79" i="1"/>
  <c r="L40" i="1"/>
  <c r="J41" i="1"/>
  <c r="L21" i="1"/>
  <c r="J22" i="1"/>
  <c r="J4" i="1"/>
  <c r="K3" i="1"/>
  <c r="L59" i="1"/>
  <c r="J60" i="1"/>
  <c r="K98" i="1" l="1"/>
  <c r="K79" i="1"/>
  <c r="K41" i="1"/>
  <c r="K22" i="1"/>
  <c r="K4" i="1"/>
  <c r="L4" i="1"/>
  <c r="J5" i="1"/>
  <c r="K60" i="1"/>
  <c r="L3" i="1"/>
  <c r="K5" i="1" l="1"/>
  <c r="L5" i="1"/>
  <c r="J6" i="1"/>
  <c r="J99" i="1"/>
  <c r="L98" i="1"/>
  <c r="J80" i="1"/>
  <c r="L79" i="1"/>
  <c r="J42" i="1"/>
  <c r="L41" i="1"/>
  <c r="J61" i="1"/>
  <c r="L60" i="1"/>
  <c r="J23" i="1"/>
  <c r="L22" i="1"/>
  <c r="K6" i="1" l="1"/>
  <c r="L6" i="1"/>
  <c r="J7" i="1"/>
  <c r="K99" i="1"/>
  <c r="J81" i="1"/>
  <c r="K80" i="1"/>
  <c r="K42" i="1"/>
  <c r="K61" i="1"/>
  <c r="K23" i="1"/>
  <c r="K7" i="1" l="1"/>
  <c r="L7" i="1"/>
  <c r="J8" i="1"/>
  <c r="K81" i="1"/>
  <c r="L81" i="1"/>
  <c r="J82" i="1"/>
  <c r="J100" i="1"/>
  <c r="L99" i="1"/>
  <c r="L80" i="1"/>
  <c r="J43" i="1"/>
  <c r="L42" i="1"/>
  <c r="J62" i="1"/>
  <c r="L61" i="1"/>
  <c r="J24" i="1"/>
  <c r="L23" i="1"/>
  <c r="K8" i="1" l="1"/>
  <c r="L8" i="1"/>
  <c r="J9" i="1"/>
  <c r="K82" i="1"/>
  <c r="L82" i="1"/>
  <c r="J83" i="1"/>
  <c r="K100" i="1"/>
  <c r="K43" i="1"/>
  <c r="J63" i="1"/>
  <c r="L62" i="1"/>
  <c r="K62" i="1"/>
  <c r="K24" i="1"/>
  <c r="K9" i="1" l="1"/>
  <c r="K83" i="1"/>
  <c r="L83" i="1"/>
  <c r="J84" i="1"/>
  <c r="K63" i="1"/>
  <c r="L63" i="1"/>
  <c r="J64" i="1"/>
  <c r="J44" i="1"/>
  <c r="L43" i="1"/>
  <c r="J101" i="1"/>
  <c r="L100" i="1"/>
  <c r="J25" i="1"/>
  <c r="L24" i="1"/>
  <c r="K84" i="1" l="1"/>
  <c r="L84" i="1"/>
  <c r="J85" i="1"/>
  <c r="K64" i="1"/>
  <c r="L64" i="1"/>
  <c r="J65" i="1"/>
  <c r="J45" i="1"/>
  <c r="L44" i="1"/>
  <c r="K44" i="1"/>
  <c r="K101" i="1"/>
  <c r="K25" i="1"/>
  <c r="L9" i="1"/>
  <c r="J10" i="1"/>
  <c r="K85" i="1" l="1"/>
  <c r="L85" i="1"/>
  <c r="J86" i="1"/>
  <c r="K65" i="1"/>
  <c r="L65" i="1"/>
  <c r="J66" i="1"/>
  <c r="K45" i="1"/>
  <c r="L45" i="1"/>
  <c r="J46" i="1"/>
  <c r="K10" i="1"/>
  <c r="J26" i="1"/>
  <c r="L25" i="1"/>
  <c r="J102" i="1"/>
  <c r="L101" i="1"/>
  <c r="K86" i="1" l="1"/>
  <c r="L86" i="1"/>
  <c r="J87" i="1"/>
  <c r="K66" i="1"/>
  <c r="L66" i="1"/>
  <c r="J67" i="1"/>
  <c r="K46" i="1"/>
  <c r="L46" i="1"/>
  <c r="J47" i="1"/>
  <c r="K26" i="1"/>
  <c r="K102" i="1"/>
  <c r="J11" i="1"/>
  <c r="L10" i="1"/>
  <c r="K87" i="1" l="1"/>
  <c r="L87" i="1"/>
  <c r="J88" i="1"/>
  <c r="K67" i="1"/>
  <c r="L67" i="1"/>
  <c r="J68" i="1"/>
  <c r="K47" i="1"/>
  <c r="L47" i="1"/>
  <c r="J48" i="1"/>
  <c r="K11" i="1"/>
  <c r="J27" i="1"/>
  <c r="L26" i="1"/>
  <c r="J103" i="1"/>
  <c r="L102" i="1"/>
  <c r="K88" i="1" l="1"/>
  <c r="L88" i="1"/>
  <c r="J89" i="1"/>
  <c r="K68" i="1"/>
  <c r="L68" i="1"/>
  <c r="J69" i="1"/>
  <c r="K48" i="1"/>
  <c r="L48" i="1"/>
  <c r="J49" i="1"/>
  <c r="J28" i="1"/>
  <c r="L27" i="1"/>
  <c r="K27" i="1"/>
  <c r="K103" i="1"/>
  <c r="J12" i="1"/>
  <c r="L11" i="1"/>
  <c r="K89" i="1" l="1"/>
  <c r="L89" i="1"/>
  <c r="J90" i="1"/>
  <c r="K69" i="1"/>
  <c r="L69" i="1"/>
  <c r="J70" i="1"/>
  <c r="K49" i="1"/>
  <c r="L49" i="1"/>
  <c r="J50" i="1"/>
  <c r="K28" i="1"/>
  <c r="L28" i="1"/>
  <c r="K12" i="1"/>
  <c r="J104" i="1"/>
  <c r="L103" i="1"/>
  <c r="K90" i="1" l="1"/>
  <c r="L90" i="1"/>
  <c r="J91" i="1"/>
  <c r="K70" i="1"/>
  <c r="L70" i="1"/>
  <c r="J71" i="1"/>
  <c r="K50" i="1"/>
  <c r="L50" i="1"/>
  <c r="J51" i="1"/>
  <c r="K104" i="1"/>
  <c r="J29" i="1"/>
  <c r="J13" i="1"/>
  <c r="L12" i="1"/>
  <c r="K91" i="1" l="1"/>
  <c r="L91" i="1"/>
  <c r="J92" i="1"/>
  <c r="K71" i="1"/>
  <c r="L71" i="1"/>
  <c r="J72" i="1"/>
  <c r="K51" i="1"/>
  <c r="L51" i="1"/>
  <c r="J52" i="1"/>
  <c r="K29" i="1"/>
  <c r="K13" i="1"/>
  <c r="J105" i="1"/>
  <c r="L104" i="1"/>
  <c r="K92" i="1" l="1"/>
  <c r="L92" i="1"/>
  <c r="J93" i="1"/>
  <c r="K72" i="1"/>
  <c r="L72" i="1"/>
  <c r="K52" i="1"/>
  <c r="L52" i="1"/>
  <c r="J53" i="1"/>
  <c r="K105" i="1"/>
  <c r="J30" i="1"/>
  <c r="L29" i="1"/>
  <c r="J14" i="1"/>
  <c r="L13" i="1"/>
  <c r="K93" i="1" l="1"/>
  <c r="L93" i="1"/>
  <c r="J94" i="1"/>
  <c r="K53" i="1"/>
  <c r="L53" i="1"/>
  <c r="K30" i="1"/>
  <c r="J15" i="1"/>
  <c r="L14" i="1"/>
  <c r="K14" i="1"/>
  <c r="J73" i="1"/>
  <c r="J106" i="1"/>
  <c r="L105" i="1"/>
  <c r="K94" i="1" l="1"/>
  <c r="L94" i="1"/>
  <c r="J95" i="1"/>
  <c r="K15" i="1"/>
  <c r="L15" i="1"/>
  <c r="J16" i="1"/>
  <c r="K73" i="1"/>
  <c r="K106" i="1"/>
  <c r="J54" i="1"/>
  <c r="J31" i="1"/>
  <c r="L30" i="1"/>
  <c r="K95" i="1" l="1"/>
  <c r="L95" i="1"/>
  <c r="J96" i="1"/>
  <c r="K16" i="1"/>
  <c r="L16" i="1"/>
  <c r="J17" i="1"/>
  <c r="K54" i="1"/>
  <c r="J32" i="1"/>
  <c r="K31" i="1"/>
  <c r="L31" i="1"/>
  <c r="J74" i="1"/>
  <c r="L73" i="1"/>
  <c r="J107" i="1"/>
  <c r="L106" i="1"/>
  <c r="M95" i="1" l="1"/>
  <c r="N95" i="1" s="1"/>
  <c r="K96" i="1"/>
  <c r="L96" i="1"/>
  <c r="K17" i="1"/>
  <c r="L17" i="1"/>
  <c r="J18" i="1"/>
  <c r="K32" i="1"/>
  <c r="L32" i="1"/>
  <c r="J33" i="1"/>
  <c r="J75" i="1"/>
  <c r="L74" i="1"/>
  <c r="K74" i="1"/>
  <c r="K107" i="1"/>
  <c r="J55" i="1"/>
  <c r="L54" i="1"/>
  <c r="M92" i="1" l="1"/>
  <c r="N92" i="1" s="1"/>
  <c r="M93" i="1"/>
  <c r="N93" i="1" s="1"/>
  <c r="M96" i="1"/>
  <c r="N96" i="1" s="1"/>
  <c r="K18" i="1"/>
  <c r="L18" i="1"/>
  <c r="J19" i="1"/>
  <c r="K33" i="1"/>
  <c r="L33" i="1"/>
  <c r="J34" i="1"/>
  <c r="K75" i="1"/>
  <c r="L75" i="1"/>
  <c r="J76" i="1"/>
  <c r="K55" i="1"/>
  <c r="M91" i="1"/>
  <c r="N91" i="1" s="1"/>
  <c r="M94" i="1"/>
  <c r="N94" i="1" s="1"/>
  <c r="J108" i="1"/>
  <c r="L107" i="1"/>
  <c r="K19" i="1" l="1"/>
  <c r="L19" i="1"/>
  <c r="J20" i="1"/>
  <c r="K34" i="1"/>
  <c r="L34" i="1"/>
  <c r="J35" i="1"/>
  <c r="K76" i="1"/>
  <c r="L76" i="1"/>
  <c r="J77" i="1"/>
  <c r="J109" i="1"/>
  <c r="K108" i="1"/>
  <c r="J56" i="1"/>
  <c r="L55" i="1"/>
  <c r="K20" i="1" l="1"/>
  <c r="L20" i="1"/>
  <c r="K35" i="1"/>
  <c r="L35" i="1"/>
  <c r="J36" i="1"/>
  <c r="M71" i="1"/>
  <c r="N71" i="1" s="1"/>
  <c r="M73" i="1"/>
  <c r="N73" i="1" s="1"/>
  <c r="K77" i="1"/>
  <c r="L77" i="1"/>
  <c r="K109" i="1"/>
  <c r="L109" i="1"/>
  <c r="J110" i="1"/>
  <c r="K56" i="1"/>
  <c r="L108" i="1"/>
  <c r="M17" i="1" l="1"/>
  <c r="N17" i="1" s="1"/>
  <c r="M15" i="1"/>
  <c r="N15" i="1" s="1"/>
  <c r="M18" i="1"/>
  <c r="N18" i="1" s="1"/>
  <c r="M16" i="1"/>
  <c r="N16" i="1" s="1"/>
  <c r="M19" i="1"/>
  <c r="N19" i="1" s="1"/>
  <c r="M20" i="1"/>
  <c r="N20" i="1" s="1"/>
  <c r="K36" i="1"/>
  <c r="L36" i="1"/>
  <c r="J37" i="1"/>
  <c r="M72" i="1"/>
  <c r="N72" i="1" s="1"/>
  <c r="M75" i="1"/>
  <c r="N75" i="1" s="1"/>
  <c r="M77" i="1"/>
  <c r="N77" i="1" s="1"/>
  <c r="K110" i="1"/>
  <c r="L110" i="1"/>
  <c r="J111" i="1"/>
  <c r="J57" i="1"/>
  <c r="M74" i="1"/>
  <c r="N74" i="1" s="1"/>
  <c r="L56" i="1"/>
  <c r="M76" i="1"/>
  <c r="N76" i="1" s="1"/>
  <c r="K37" i="1" l="1"/>
  <c r="L37" i="1"/>
  <c r="J38" i="1"/>
  <c r="K111" i="1"/>
  <c r="L111" i="1"/>
  <c r="K57" i="1"/>
  <c r="K38" i="1" l="1"/>
  <c r="L38" i="1"/>
  <c r="J39" i="1"/>
  <c r="J112" i="1"/>
  <c r="J58" i="1"/>
  <c r="L57" i="1"/>
  <c r="M37" i="1" l="1"/>
  <c r="N37" i="1" s="1"/>
  <c r="M38" i="1"/>
  <c r="N38" i="1" s="1"/>
  <c r="K39" i="1"/>
  <c r="L39" i="1"/>
  <c r="K112" i="1"/>
  <c r="L58" i="1"/>
  <c r="M58" i="1" s="1"/>
  <c r="N58" i="1" s="1"/>
  <c r="K58" i="1"/>
  <c r="M56" i="1"/>
  <c r="N56" i="1" s="1"/>
  <c r="M54" i="1"/>
  <c r="N54" i="1" s="1"/>
  <c r="M55" i="1"/>
  <c r="N55" i="1" s="1"/>
  <c r="M57" i="1"/>
  <c r="N57" i="1" s="1"/>
  <c r="M36" i="1" l="1"/>
  <c r="N36" i="1" s="1"/>
  <c r="M34" i="1"/>
  <c r="N34" i="1" s="1"/>
  <c r="M39" i="1"/>
  <c r="N39" i="1" s="1"/>
  <c r="M35" i="1"/>
  <c r="N35" i="1" s="1"/>
  <c r="J113" i="1"/>
  <c r="L112" i="1"/>
  <c r="L113" i="1" l="1"/>
  <c r="K113" i="1"/>
  <c r="J114" i="1" l="1"/>
  <c r="K114" i="1" l="1"/>
  <c r="J115" i="1" l="1"/>
  <c r="L114" i="1"/>
  <c r="L115" i="1" l="1"/>
  <c r="K115" i="1"/>
  <c r="M114" i="1"/>
  <c r="N114" i="1" s="1"/>
  <c r="M113" i="1"/>
  <c r="N113" i="1" s="1"/>
  <c r="M110" i="1"/>
  <c r="N110" i="1" s="1"/>
  <c r="M112" i="1"/>
  <c r="N112" i="1" s="1"/>
  <c r="M108" i="1"/>
  <c r="N108" i="1" s="1"/>
  <c r="M111" i="1"/>
  <c r="N111" i="1" s="1"/>
  <c r="M109" i="1" l="1"/>
  <c r="N109" i="1" s="1"/>
  <c r="M107" i="1"/>
  <c r="N107" i="1" s="1"/>
  <c r="M33" i="1"/>
  <c r="N33" i="1" s="1"/>
  <c r="M106" i="1"/>
  <c r="N106" i="1" s="1"/>
  <c r="M32" i="1"/>
  <c r="N32" i="1" s="1"/>
  <c r="M53" i="1"/>
  <c r="N53" i="1" s="1"/>
  <c r="M31" i="1"/>
  <c r="N31" i="1" s="1"/>
  <c r="M105" i="1"/>
  <c r="N105" i="1" s="1"/>
  <c r="M30" i="1"/>
  <c r="N30" i="1" s="1"/>
  <c r="M52" i="1"/>
  <c r="N52" i="1" s="1"/>
  <c r="M104" i="1"/>
  <c r="N104" i="1" s="1"/>
  <c r="M13" i="1"/>
  <c r="N13" i="1" s="1"/>
  <c r="M28" i="1"/>
  <c r="N28" i="1" s="1"/>
  <c r="M29" i="1"/>
  <c r="N29" i="1" s="1"/>
  <c r="M51" i="1"/>
  <c r="N51" i="1" s="1"/>
  <c r="M14" i="1"/>
  <c r="N14" i="1" s="1"/>
  <c r="M50" i="1"/>
  <c r="N50" i="1" s="1"/>
  <c r="M68" i="1"/>
  <c r="N68" i="1" s="1"/>
  <c r="M12" i="1"/>
  <c r="N12" i="1" s="1"/>
  <c r="M70" i="1"/>
  <c r="N70" i="1" s="1"/>
  <c r="M103" i="1"/>
  <c r="N103" i="1" s="1"/>
  <c r="M69" i="1"/>
  <c r="N69" i="1" s="1"/>
  <c r="M11" i="1"/>
  <c r="N11" i="1" s="1"/>
  <c r="M27" i="1"/>
  <c r="N27" i="1" s="1"/>
  <c r="M26" i="1"/>
  <c r="N26" i="1" s="1"/>
  <c r="M48" i="1"/>
  <c r="N48" i="1" s="1"/>
  <c r="M49" i="1"/>
  <c r="N49" i="1" s="1"/>
  <c r="M102" i="1"/>
  <c r="N102" i="1" s="1"/>
  <c r="M88" i="1"/>
  <c r="N88" i="1" s="1"/>
  <c r="M90" i="1"/>
  <c r="N90" i="1" s="1"/>
  <c r="M89" i="1"/>
  <c r="N89" i="1" s="1"/>
  <c r="M10" i="1"/>
  <c r="N10" i="1" s="1"/>
  <c r="M67" i="1"/>
  <c r="N67" i="1" s="1"/>
  <c r="M87" i="1"/>
  <c r="N87" i="1" s="1"/>
  <c r="M66" i="1"/>
  <c r="N66" i="1" s="1"/>
  <c r="M101" i="1"/>
  <c r="N101" i="1" s="1"/>
  <c r="M47" i="1"/>
  <c r="N47" i="1" s="1"/>
  <c r="M86" i="1"/>
  <c r="N86" i="1" s="1"/>
  <c r="M46" i="1"/>
  <c r="N46" i="1" s="1"/>
  <c r="M9" i="1"/>
  <c r="N9" i="1" s="1"/>
  <c r="M85" i="1"/>
  <c r="N85" i="1" s="1"/>
  <c r="M45" i="1"/>
  <c r="N45" i="1" s="1"/>
  <c r="M25" i="1"/>
  <c r="N25" i="1" s="1"/>
  <c r="M65" i="1"/>
  <c r="N65" i="1" s="1"/>
  <c r="M100" i="1"/>
  <c r="N100" i="1" s="1"/>
  <c r="M44" i="1"/>
  <c r="N44" i="1" s="1"/>
  <c r="M84" i="1"/>
  <c r="N84" i="1" s="1"/>
  <c r="M24" i="1"/>
  <c r="N24" i="1" s="1"/>
  <c r="M8" i="1"/>
  <c r="N8" i="1" s="1"/>
  <c r="M64" i="1"/>
  <c r="N64" i="1" s="1"/>
  <c r="M63" i="1"/>
  <c r="N63" i="1" s="1"/>
  <c r="M43" i="1"/>
  <c r="N43" i="1" s="1"/>
  <c r="M99" i="1"/>
  <c r="N99" i="1" s="1"/>
  <c r="M83" i="1"/>
  <c r="N83" i="1" s="1"/>
  <c r="M23" i="1"/>
  <c r="N23" i="1" s="1"/>
  <c r="M62" i="1"/>
  <c r="N62" i="1" s="1"/>
  <c r="M82" i="1"/>
  <c r="N82" i="1" s="1"/>
  <c r="M7" i="1"/>
  <c r="N7" i="1" s="1"/>
  <c r="M42" i="1"/>
  <c r="N42" i="1" s="1"/>
  <c r="M98" i="1"/>
  <c r="N98" i="1" s="1"/>
  <c r="M22" i="1"/>
  <c r="N22" i="1" s="1"/>
  <c r="M80" i="1"/>
  <c r="N80" i="1" s="1"/>
  <c r="M61" i="1"/>
  <c r="N61" i="1" s="1"/>
  <c r="M81" i="1"/>
  <c r="N81" i="1" s="1"/>
  <c r="M41" i="1"/>
  <c r="N41" i="1" s="1"/>
  <c r="M79" i="1"/>
  <c r="N79" i="1" s="1"/>
  <c r="M6" i="1"/>
  <c r="N6" i="1" s="1"/>
  <c r="M5" i="1"/>
  <c r="N5" i="1" s="1"/>
  <c r="M97" i="1"/>
  <c r="N97" i="1" s="1"/>
  <c r="M40" i="1"/>
  <c r="N40" i="1" s="1"/>
  <c r="M60" i="1"/>
  <c r="N60" i="1" s="1"/>
  <c r="M21" i="1"/>
  <c r="N21" i="1" s="1"/>
  <c r="M78" i="1"/>
  <c r="N78" i="1" s="1"/>
  <c r="M59" i="1"/>
  <c r="N59" i="1" s="1"/>
  <c r="M3" i="1"/>
  <c r="N3" i="1" s="1"/>
  <c r="M4" i="1"/>
  <c r="N4" i="1" s="1"/>
  <c r="M2" i="1"/>
  <c r="N2" i="1" s="1"/>
  <c r="M115" i="1"/>
  <c r="N115" i="1" s="1"/>
  <c r="C7" i="2" l="1"/>
  <c r="E7" i="2" s="1"/>
  <c r="P97" i="1"/>
  <c r="C4" i="2"/>
  <c r="E4" i="2" s="1"/>
  <c r="P40" i="1"/>
  <c r="C3" i="2"/>
  <c r="E3" i="2" s="1"/>
  <c r="P21" i="1"/>
  <c r="C6" i="2"/>
  <c r="E6" i="2" s="1"/>
  <c r="P78" i="1"/>
  <c r="C5" i="2"/>
  <c r="E5" i="2" s="1"/>
  <c r="P59" i="1"/>
  <c r="P2" i="1"/>
  <c r="C2" i="2"/>
  <c r="E2" i="2" s="1"/>
</calcChain>
</file>

<file path=xl/sharedStrings.xml><?xml version="1.0" encoding="utf-8"?>
<sst xmlns="http://schemas.openxmlformats.org/spreadsheetml/2006/main" count="150" uniqueCount="25">
  <si>
    <t>año</t>
  </si>
  <si>
    <t>sexo</t>
  </si>
  <si>
    <t>edad_inicio</t>
  </si>
  <si>
    <t>n</t>
  </si>
  <si>
    <t>ax</t>
  </si>
  <si>
    <t>poblacion</t>
  </si>
  <si>
    <t>defunciones</t>
  </si>
  <si>
    <t>mx</t>
  </si>
  <si>
    <t>qx</t>
  </si>
  <si>
    <t>lx</t>
  </si>
  <si>
    <t>dx</t>
  </si>
  <si>
    <t>Lx</t>
  </si>
  <si>
    <t>Tx</t>
  </si>
  <si>
    <t>ex</t>
  </si>
  <si>
    <t>APV_85</t>
  </si>
  <si>
    <t>Hombres</t>
  </si>
  <si>
    <t>Mujeres</t>
  </si>
  <si>
    <t>anio</t>
  </si>
  <si>
    <t>e0_calculada</t>
  </si>
  <si>
    <t>e0_referencia</t>
  </si>
  <si>
    <t>diferencia</t>
  </si>
  <si>
    <t>comentario</t>
  </si>
  <si>
    <t>Referencia pre-pandemia</t>
  </si>
  <si>
    <t>Disminución en 2021 por efecto COVID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</si>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</sst>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</font>
    <font>
      <sz val="11"/>
      <color theme="1"/>
      <name val="Calibri"/>
    </font>
    <font>
      <sz val="18"/>
      <color theme="3"/>
      <name val="Calibri Light"/>
    </font>
    <font>
      <b/>
      <sz val="15"/>
      <color theme="3"/>
      <name val="Calibri"/>
    </font>
    <font>
      <b/>
      <sz val="13"/>
      <color theme="3"/>
      <name val="Calibri"/>
    </font>
    <font>
      <b/>
      <sz val="11"/>
      <color theme="3"/>
      <name val="Calibri"/>
    </font>
    <font>
      <sz val="11"/>
      <color rgb="FF006100"/>
      <name val="Calibri"/>
    </font>
    <font>
      <sz val="11"/>
      <color rgb="FF9C0006"/>
      <name val="Calibri"/>
    </font>
    <font>
      <sz val="11"/>
      <color rgb="FF9C5700"/>
      <name val="Calibri"/>
    </font>
    <font>
      <sz val="11"/>
      <color rgb="FF3F3F76"/>
      <name val="Calibri"/>
    </font>
    <font>
      <b/>
      <sz val="11"/>
      <color rgb="FF3F3F3F"/>
      <name val="Calibri"/>
    </font>
    <font>
      <b/>
      <sz val="11"/>
      <color rgb="FFFA7D00"/>
      <name val="Calibri"/>
    </font>
    <font>
      <sz val="11"/>
      <color rgb="FFFA7D00"/>
      <name val="Calibri"/>
    </font>
    <font>
      <b/>
      <sz val="11"/>
      <color theme="0"/>
      <name val="Calibri"/>
    </font>
    <font>
      <sz val="11"/>
      <color rgb="FFFF0000"/>
      <name val="Calibri"/>
    </font>
    <font>
      <i/>
      <sz val="11"/>
      <color rgb="FF7F7F7F"/>
      <name val="Calibri"/>
    </font>
    <font>
      <b/>
      <sz val="11"/>
      <color theme="1"/>
      <name val="Calibri"/>
    </font>
    <font>
      <sz val="11"/>
      <color theme="0"/>
      <name val="Calibri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Calibri"/>
    </font>
    <font>
      <b/>
      <sz val="14"/>
      <color theme="1"/>
      <name val="Calibri"/>
    </font>
    <font>
      <i/>
      <sz val="11"/>
      <color theme="1"/>
      <name val="Calibri"/>
    </font>
    <font>
      <i/>
      <sz val="11"/>
      <color rgb="FF666666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1F4E79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9">
    <xf numFmtId="0" fontId="0" fillId="0" borderId="0" xfId="0"/>
    <xf numFmtId="0" fontId="0" fillId="33" borderId="0" xfId="0" applyFill="1"/>
    <xf numFmtId="0" fontId="18" fillId="0" borderId="0" xfId="42" applyAlignment="1">
      <alignment wrapText="1"/>
    </xf>
    <xf numFmtId="0" fontId="20" fillId="34" borderId="10" xfId="0" applyFont="1" applyFill="1" applyBorder="1" applyAlignment="1">
      <alignment horizontal="center" vertical="center"/>
    </xf>
    <xf numFmtId="0" fontId="20" fillId="34" borderId="11" xfId="0" applyFont="1" applyFill="1" applyBorder="1" applyAlignment="1">
      <alignment horizontal="center" vertical="center"/>
    </xf>
    <xf numFmtId="0" fontId="20" fillId="34" borderId="12" xfId="0" applyFont="1" applyFill="1" applyBorder="1" applyAlignment="1">
      <alignment horizontal="center" vertical="center"/>
    </xf>
    <xf numFmtId="1" fontId="0" fillId="0" borderId="13" xfId="0" applyNumberFormat="1" applyBorder="1"/>
    <xf numFmtId="2" fontId="0" fillId="0" borderId="14" xfId="0" applyNumberFormat="1" applyBorder="1"/>
    <xf numFmtId="2" fontId="0" fillId="0" borderId="15" xfId="0" applyNumberFormat="1" applyBorder="1"/>
    <xf numFmtId="1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0" fontId="19" fillId="34" borderId="0" xfId="0" applyFont="1" applyFill="1" applyAlignment="1">
      <alignment horizontal="center" vertical="center" wrapText="1"/>
    </xf>
    <xf numFmtId="2" fontId="19" fillId="34" borderId="0" xfId="0" applyNumberFormat="1" applyFont="1" applyFill="1" applyAlignment="1">
      <alignment horizontal="center" vertical="center" wrapText="1"/>
    </xf>
    <xf numFmtId="2" fontId="18" fillId="0" borderId="0" xfId="0" applyNumberFormat="1" applyFont="1" applyAlignment="1">
      <alignment wrapText="1"/>
    </xf>
    <xf numFmtId="0" fontId="21" fillId="0" borderId="0" xfId="0" applyFont="1" applyAlignment="1">
      <alignment horizontal="center"/>
    </xf>
    <xf numFmtId="0" fontId="0" fillId="0" borderId="0" xfId="0"/>
    <xf numFmtId="0" fontId="22" fillId="0" borderId="0" xfId="0" applyFont="1" applyAlignment="1">
      <alignment horizontal="center"/>
    </xf>
    <xf numFmtId="0" fontId="23" fillId="0" borderId="0" xfId="0" applyFont="1" applyAlignment="1">
      <alignment wrapText="1"/>
    </xf>
  </cellXfs>
  <cellStyles count="43">
    <cellStyle name="20% - Énfasis1" xfId="19" xr:uid="{00000000-0005-0000-0000-000000000000}"/>
    <cellStyle name="20% - Énfasis2" xfId="23" xr:uid="{00000000-0005-0000-0000-000001000000}"/>
    <cellStyle name="20% - Énfasis3" xfId="27" xr:uid="{00000000-0005-0000-0000-000002000000}"/>
    <cellStyle name="20% - Énfasis4" xfId="31" xr:uid="{00000000-0005-0000-0000-000003000000}"/>
    <cellStyle name="20% - Énfasis5" xfId="35" xr:uid="{00000000-0005-0000-0000-000004000000}"/>
    <cellStyle name="20% - Énfasis6" xfId="39" xr:uid="{00000000-0005-0000-0000-000005000000}"/>
    <cellStyle name="40% - Énfasis1" xfId="20" xr:uid="{00000000-0005-0000-0000-000006000000}"/>
    <cellStyle name="40% - Énfasis2" xfId="24" xr:uid="{00000000-0005-0000-0000-000007000000}"/>
    <cellStyle name="40% - Énfasis3" xfId="28" xr:uid="{00000000-0005-0000-0000-000008000000}"/>
    <cellStyle name="40% - Énfasis4" xfId="32" xr:uid="{00000000-0005-0000-0000-000009000000}"/>
    <cellStyle name="40% - Énfasis5" xfId="36" xr:uid="{00000000-0005-0000-0000-00000A000000}"/>
    <cellStyle name="40% - Énfasis6" xfId="40" xr:uid="{00000000-0005-0000-0000-00000B000000}"/>
    <cellStyle name="60% - Énfasis1" xfId="21" xr:uid="{00000000-0005-0000-0000-00000C000000}"/>
    <cellStyle name="60% - Énfasis2" xfId="25" xr:uid="{00000000-0005-0000-0000-00000D000000}"/>
    <cellStyle name="60% - Énfasis3" xfId="29" xr:uid="{00000000-0005-0000-0000-00000E000000}"/>
    <cellStyle name="60% - Énfasis4" xfId="33" xr:uid="{00000000-0005-0000-0000-00000F000000}"/>
    <cellStyle name="60% - Énfasis5" xfId="37" xr:uid="{00000000-0005-0000-0000-000010000000}"/>
    <cellStyle name="60% - Énfasis6" xfId="41" xr:uid="{00000000-0005-0000-0000-000011000000}"/>
    <cellStyle name="Bueno" xfId="6" xr:uid="{00000000-0005-0000-0000-000012000000}"/>
    <cellStyle name="Cálculo" xfId="11" xr:uid="{00000000-0005-0000-0000-000013000000}"/>
    <cellStyle name="Celda de comprobación" xfId="13" xr:uid="{00000000-0005-0000-0000-000014000000}"/>
    <cellStyle name="Celda vinculada" xfId="12" xr:uid="{00000000-0005-0000-0000-000015000000}"/>
    <cellStyle name="Encabezado 1" xfId="2" xr:uid="{00000000-0005-0000-0000-000016000000}"/>
    <cellStyle name="Encabezado 4" xfId="5" xr:uid="{00000000-0005-0000-0000-000017000000}"/>
    <cellStyle name="Énfasis1" xfId="18" xr:uid="{00000000-0005-0000-0000-000018000000}"/>
    <cellStyle name="Énfasis2" xfId="22" xr:uid="{00000000-0005-0000-0000-000019000000}"/>
    <cellStyle name="Énfasis3" xfId="26" xr:uid="{00000000-0005-0000-0000-00001A000000}"/>
    <cellStyle name="Énfasis4" xfId="30" xr:uid="{00000000-0005-0000-0000-00001B000000}"/>
    <cellStyle name="Énfasis5" xfId="34" xr:uid="{00000000-0005-0000-0000-00001C000000}"/>
    <cellStyle name="Énfasis6" xfId="38" xr:uid="{00000000-0005-0000-0000-00001D000000}"/>
    <cellStyle name="Entrada" xfId="9" xr:uid="{00000000-0005-0000-0000-00001E000000}"/>
    <cellStyle name="Incorrecto" xfId="7" xr:uid="{00000000-0005-0000-0000-00001F000000}"/>
    <cellStyle name="Neutral" xfId="8" xr:uid="{00000000-0005-0000-0000-000020000000}"/>
    <cellStyle name="Normal" xfId="0" builtinId="0"/>
    <cellStyle name="Normal 2" xfId="42" xr:uid="{00000000-0005-0000-0000-000022000000}"/>
    <cellStyle name="Notas" xfId="15" xr:uid="{00000000-0005-0000-0000-000023000000}"/>
    <cellStyle name="Salida" xfId="10" xr:uid="{00000000-0005-0000-0000-000024000000}"/>
    <cellStyle name="Texto de advertencia" xfId="14" xr:uid="{00000000-0005-0000-0000-000025000000}"/>
    <cellStyle name="Texto explicativo" xfId="16" xr:uid="{00000000-0005-0000-0000-000026000000}"/>
    <cellStyle name="Título" xfId="1" xr:uid="{00000000-0005-0000-0000-000027000000}"/>
    <cellStyle name="Título 2" xfId="3" xr:uid="{00000000-0005-0000-0000-000028000000}"/>
    <cellStyle name="Título 3" xfId="4" xr:uid="{00000000-0005-0000-0000-000029000000}"/>
    <cellStyle name="Total" xfId="17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/>
              <a:t>Esperanza de vida al nacer por sexo, Nuevo León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Hombres</c:v>
          </c:tx>
          <c:cat>
            <c:numRef>
              <c:f>Resumen_EV!$H$2:$H$4</c:f>
              <c:numCache>
                <c:formatCode>0</c:formatCode>
                <c:ptCount val="3"/>
                <c:pt idx="0">
                  <c:v>2010</c:v>
                </c:pt>
                <c:pt idx="1">
                  <c:v>2019</c:v>
                </c:pt>
                <c:pt idx="2">
                  <c:v>2021</c:v>
                </c:pt>
              </c:numCache>
            </c:numRef>
          </c:cat>
          <c:val>
            <c:numRef>
              <c:f>Resumen_EV!$I$2:$I$4</c:f>
              <c:numCache>
                <c:formatCode>0.00</c:formatCode>
                <c:ptCount val="3"/>
                <c:pt idx="0">
                  <c:v>74.599999999999994</c:v>
                </c:pt>
                <c:pt idx="1">
                  <c:v>74.8</c:v>
                </c:pt>
                <c:pt idx="2">
                  <c:v>67.099999999999994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49-4BFE-B062-4AD3B6F1E6C5}"/>
            </c:ext>
          </c:extLst>
        </c:ser>
        <c:ser>
          <c:idx val="1"/>
          <c:order val="1"/>
          <c:tx>
            <c:v>Mujeres</c:v>
          </c:tx>
          <c:cat>
            <c:numRef>
              <c:f>Resumen_EV!$H$2:$H$4</c:f>
              <c:numCache>
                <c:formatCode>0</c:formatCode>
                <c:ptCount val="3"/>
                <c:pt idx="0">
                  <c:v>2010</c:v>
                </c:pt>
                <c:pt idx="1">
                  <c:v>2019</c:v>
                </c:pt>
                <c:pt idx="2">
                  <c:v>2021</c:v>
                </c:pt>
              </c:numCache>
            </c:numRef>
          </c:cat>
          <c:val>
            <c:numRef>
              <c:f>Resumen_EV!$J$2:$J$4</c:f>
              <c:numCache>
                <c:formatCode>0.00</c:formatCode>
                <c:ptCount val="3"/>
                <c:pt idx="0">
                  <c:v>80.3</c:v>
                </c:pt>
                <c:pt idx="1">
                  <c:v>80.5</c:v>
                </c:pt>
                <c:pt idx="2">
                  <c:v>75.599999999999994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49-4BFE-B062-4AD3B6F1E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MX"/>
                  <a:t>Año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MX"/>
                  <a:t>Años de esperanza de vida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5"/>
  <sheetViews>
    <sheetView tabSelected="1" workbookViewId="0">
      <selection activeCell="H3" sqref="H3"/>
    </sheetView>
  </sheetViews>
  <sheetFormatPr baseColWidth="10"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 t="s">
        <v>14</v>
      </c>
    </row>
    <row r="2" spans="1:16">
      <c r="A2">
        <v>2010</v>
      </c>
      <c r="B2" t="s">
        <v>15</v>
      </c>
      <c r="C2">
        <v>0</v>
      </c>
      <c r="D2">
        <v>1</v>
      </c>
      <c r="E2">
        <v>0.1</v>
      </c>
      <c r="F2">
        <v>36094</v>
      </c>
      <c r="G2">
        <v>218.42</v>
      </c>
      <c r="H2">
        <f>IFERROR(G2/F2,0)</f>
        <v>6.0514212888568737E-3</v>
      </c>
      <c r="I2">
        <f t="shared" ref="I2:I33" si="0">IF(C2=85,1,(D2*H2)/(1+(D2-IF(E2="",D2/2,E2))*H2))</f>
        <v>6.0186420839039821E-3</v>
      </c>
      <c r="J2">
        <f t="shared" ref="J2:J33" si="1">IF(OR(ROW()=2,A2&lt;&gt;A1,B2&lt;&gt;B1),100000,J1-K1)</f>
        <v>100000</v>
      </c>
      <c r="K2">
        <f>J2*I2</f>
        <v>601.86420839039818</v>
      </c>
      <c r="L2">
        <f t="shared" ref="L2:L33" si="2">IF(C2=85,J2/H2,D2*J2-(D2-E2)*K2)</f>
        <v>99458.322212448635</v>
      </c>
      <c r="M2">
        <f t="shared" ref="M2:M33" si="3">SUMIFS(L:L,A:A,A2,B:B,B2,C:C,"&gt;="&amp;C2)</f>
        <v>7459995.0664424989</v>
      </c>
      <c r="N2">
        <f>M2/J2</f>
        <v>74.599950664424995</v>
      </c>
      <c r="P2">
        <f>IF(C2=0, 85-N2, "")</f>
        <v>10.400049335575005</v>
      </c>
    </row>
    <row r="3" spans="1:16">
      <c r="A3">
        <v>2010</v>
      </c>
      <c r="B3" t="s">
        <v>15</v>
      </c>
      <c r="C3">
        <v>1</v>
      </c>
      <c r="D3">
        <v>4</v>
      </c>
      <c r="E3">
        <v>2</v>
      </c>
      <c r="F3">
        <v>144378</v>
      </c>
      <c r="G3">
        <v>57.98</v>
      </c>
      <c r="H3">
        <f t="shared" ref="H3:H66" si="4">IFERROR(G3/F3,0)</f>
        <v>4.0158472897532864E-4</v>
      </c>
      <c r="I3">
        <f t="shared" si="0"/>
        <v>1.605049788932354E-3</v>
      </c>
      <c r="J3">
        <f t="shared" si="1"/>
        <v>99398.135791609602</v>
      </c>
      <c r="K3">
        <f t="shared" ref="K3:K66" si="5">J3*I3</f>
        <v>159.53895687259245</v>
      </c>
      <c r="L3">
        <f t="shared" si="2"/>
        <v>397273.46525269322</v>
      </c>
      <c r="M3">
        <f t="shared" si="3"/>
        <v>7360536.7442300497</v>
      </c>
      <c r="N3">
        <f t="shared" ref="N3:N66" si="6">M3/J3</f>
        <v>74.051054233668708</v>
      </c>
      <c r="P3" t="str">
        <f t="shared" ref="P3:P66" si="7">IF(C3=0, 85-N3, "")</f>
        <v/>
      </c>
    </row>
    <row r="4" spans="1:16">
      <c r="A4">
        <v>2010</v>
      </c>
      <c r="B4" t="s">
        <v>15</v>
      </c>
      <c r="C4">
        <v>5</v>
      </c>
      <c r="D4">
        <v>5</v>
      </c>
      <c r="E4">
        <v>2.5</v>
      </c>
      <c r="F4">
        <v>192504</v>
      </c>
      <c r="G4">
        <v>30.91</v>
      </c>
      <c r="H4">
        <f t="shared" si="4"/>
        <v>1.6056809209159291E-4</v>
      </c>
      <c r="I4">
        <f t="shared" si="0"/>
        <v>8.0251831337184779E-4</v>
      </c>
      <c r="J4">
        <f t="shared" si="1"/>
        <v>99238.596834737007</v>
      </c>
      <c r="K4">
        <f t="shared" si="5"/>
        <v>79.640791353201934</v>
      </c>
      <c r="L4">
        <f t="shared" si="2"/>
        <v>495993.88219530199</v>
      </c>
      <c r="M4">
        <f t="shared" si="3"/>
        <v>6963263.2789773569</v>
      </c>
      <c r="N4">
        <f t="shared" si="6"/>
        <v>70.166885678294562</v>
      </c>
      <c r="P4" t="str">
        <f t="shared" si="7"/>
        <v/>
      </c>
    </row>
    <row r="5" spans="1:16">
      <c r="A5">
        <v>2010</v>
      </c>
      <c r="B5" t="s">
        <v>15</v>
      </c>
      <c r="C5">
        <v>10</v>
      </c>
      <c r="D5">
        <v>5</v>
      </c>
      <c r="E5">
        <v>2.5</v>
      </c>
      <c r="F5">
        <v>192504</v>
      </c>
      <c r="G5">
        <v>41.22</v>
      </c>
      <c r="H5">
        <f t="shared" si="4"/>
        <v>2.141254207704775E-4</v>
      </c>
      <c r="I5">
        <f t="shared" si="0"/>
        <v>1.0700542892900337E-3</v>
      </c>
      <c r="J5">
        <f t="shared" si="1"/>
        <v>99158.956043383805</v>
      </c>
      <c r="K5">
        <f t="shared" si="5"/>
        <v>106.10546623574476</v>
      </c>
      <c r="L5">
        <f t="shared" si="2"/>
        <v>495529.51655132964</v>
      </c>
      <c r="M5">
        <f t="shared" si="3"/>
        <v>6467269.3967820555</v>
      </c>
      <c r="N5">
        <f t="shared" si="6"/>
        <v>65.221233208148234</v>
      </c>
      <c r="P5" t="str">
        <f t="shared" si="7"/>
        <v/>
      </c>
    </row>
    <row r="6" spans="1:16">
      <c r="A6">
        <v>2010</v>
      </c>
      <c r="B6" t="s">
        <v>15</v>
      </c>
      <c r="C6">
        <v>15</v>
      </c>
      <c r="D6">
        <v>5</v>
      </c>
      <c r="E6">
        <v>2.5</v>
      </c>
      <c r="F6">
        <v>180472</v>
      </c>
      <c r="G6">
        <v>87</v>
      </c>
      <c r="H6">
        <f t="shared" si="4"/>
        <v>4.8206924065783059E-4</v>
      </c>
      <c r="I6">
        <f t="shared" si="0"/>
        <v>2.4074448155537538E-3</v>
      </c>
      <c r="J6">
        <f t="shared" si="1"/>
        <v>99052.850577148056</v>
      </c>
      <c r="K6">
        <f t="shared" si="5"/>
        <v>238.46427158777573</v>
      </c>
      <c r="L6">
        <f t="shared" si="2"/>
        <v>494668.09220677079</v>
      </c>
      <c r="M6">
        <f t="shared" si="3"/>
        <v>5971739.8802307257</v>
      </c>
      <c r="N6">
        <f t="shared" si="6"/>
        <v>60.288420226529382</v>
      </c>
      <c r="P6" t="str">
        <f t="shared" si="7"/>
        <v/>
      </c>
    </row>
    <row r="7" spans="1:16">
      <c r="A7">
        <v>2010</v>
      </c>
      <c r="B7" t="s">
        <v>15</v>
      </c>
      <c r="C7">
        <v>20</v>
      </c>
      <c r="D7">
        <v>5</v>
      </c>
      <c r="E7">
        <v>2.5</v>
      </c>
      <c r="F7">
        <v>180472</v>
      </c>
      <c r="G7">
        <v>145.11000000000001</v>
      </c>
      <c r="H7">
        <f t="shared" si="4"/>
        <v>8.0405824726273336E-4</v>
      </c>
      <c r="I7">
        <f t="shared" si="0"/>
        <v>4.0122260776446345E-3</v>
      </c>
      <c r="J7">
        <f t="shared" si="1"/>
        <v>98814.386305560285</v>
      </c>
      <c r="K7">
        <f t="shared" si="5"/>
        <v>396.46565758161984</v>
      </c>
      <c r="L7">
        <f t="shared" si="2"/>
        <v>493080.76738384739</v>
      </c>
      <c r="M7">
        <f t="shared" si="3"/>
        <v>5477071.7880239552</v>
      </c>
      <c r="N7">
        <f t="shared" si="6"/>
        <v>55.427878397052396</v>
      </c>
      <c r="P7" t="str">
        <f t="shared" si="7"/>
        <v/>
      </c>
    </row>
    <row r="8" spans="1:16">
      <c r="A8">
        <v>2010</v>
      </c>
      <c r="B8" t="s">
        <v>15</v>
      </c>
      <c r="C8">
        <v>25</v>
      </c>
      <c r="D8">
        <v>5</v>
      </c>
      <c r="E8">
        <v>2.5</v>
      </c>
      <c r="F8">
        <v>168441</v>
      </c>
      <c r="G8">
        <v>180.71</v>
      </c>
      <c r="H8">
        <f t="shared" si="4"/>
        <v>1.0728385606829692E-3</v>
      </c>
      <c r="I8">
        <f t="shared" si="0"/>
        <v>5.3498440060565063E-3</v>
      </c>
      <c r="J8">
        <f t="shared" si="1"/>
        <v>98417.920647978666</v>
      </c>
      <c r="K8">
        <f t="shared" si="5"/>
        <v>526.52052286713354</v>
      </c>
      <c r="L8">
        <f t="shared" si="2"/>
        <v>490773.30193272547</v>
      </c>
      <c r="M8">
        <f t="shared" si="3"/>
        <v>4983991.0206401087</v>
      </c>
      <c r="N8">
        <f t="shared" si="6"/>
        <v>50.641092474071399</v>
      </c>
      <c r="P8" t="str">
        <f t="shared" si="7"/>
        <v/>
      </c>
    </row>
    <row r="9" spans="1:16">
      <c r="A9">
        <v>2010</v>
      </c>
      <c r="B9" t="s">
        <v>15</v>
      </c>
      <c r="C9">
        <v>30</v>
      </c>
      <c r="D9">
        <v>5</v>
      </c>
      <c r="E9">
        <v>2.5</v>
      </c>
      <c r="F9">
        <v>168441</v>
      </c>
      <c r="G9">
        <v>226.04</v>
      </c>
      <c r="H9">
        <f t="shared" si="4"/>
        <v>1.3419535623749562E-3</v>
      </c>
      <c r="I9">
        <f t="shared" si="0"/>
        <v>6.6873325874036499E-3</v>
      </c>
      <c r="J9">
        <f t="shared" si="1"/>
        <v>97891.400125111526</v>
      </c>
      <c r="K9">
        <f t="shared" si="5"/>
        <v>654.63235008322806</v>
      </c>
      <c r="L9">
        <f t="shared" si="2"/>
        <v>487820.41975034954</v>
      </c>
      <c r="M9">
        <f t="shared" si="3"/>
        <v>4493217.7187073827</v>
      </c>
      <c r="N9">
        <f t="shared" si="6"/>
        <v>45.900025058021036</v>
      </c>
      <c r="P9" t="str">
        <f t="shared" si="7"/>
        <v/>
      </c>
    </row>
    <row r="10" spans="1:16">
      <c r="A10">
        <v>2010</v>
      </c>
      <c r="B10" t="s">
        <v>15</v>
      </c>
      <c r="C10">
        <v>35</v>
      </c>
      <c r="D10">
        <v>5</v>
      </c>
      <c r="E10">
        <v>2.5</v>
      </c>
      <c r="F10">
        <v>156409</v>
      </c>
      <c r="G10">
        <v>273.13</v>
      </c>
      <c r="H10">
        <f t="shared" si="4"/>
        <v>1.7462550109009073E-3</v>
      </c>
      <c r="I10">
        <f t="shared" si="0"/>
        <v>8.6933231566951371E-3</v>
      </c>
      <c r="J10">
        <f t="shared" si="1"/>
        <v>97236.767775028304</v>
      </c>
      <c r="K10">
        <f t="shared" si="5"/>
        <v>845.31064498084106</v>
      </c>
      <c r="L10">
        <f t="shared" si="2"/>
        <v>484070.5622626894</v>
      </c>
      <c r="M10">
        <f t="shared" si="3"/>
        <v>4005397.2989570335</v>
      </c>
      <c r="N10">
        <f t="shared" si="6"/>
        <v>41.192209393715295</v>
      </c>
      <c r="P10" t="str">
        <f t="shared" si="7"/>
        <v/>
      </c>
    </row>
    <row r="11" spans="1:16">
      <c r="A11">
        <v>2010</v>
      </c>
      <c r="B11" t="s">
        <v>15</v>
      </c>
      <c r="C11">
        <v>40</v>
      </c>
      <c r="D11">
        <v>5</v>
      </c>
      <c r="E11">
        <v>2.5</v>
      </c>
      <c r="F11">
        <v>144378</v>
      </c>
      <c r="G11">
        <v>349.68</v>
      </c>
      <c r="H11">
        <f t="shared" si="4"/>
        <v>2.4219756472592777E-3</v>
      </c>
      <c r="I11">
        <f t="shared" si="0"/>
        <v>1.2036994964620157E-2</v>
      </c>
      <c r="J11">
        <f t="shared" si="1"/>
        <v>96391.457130047464</v>
      </c>
      <c r="K11">
        <f t="shared" si="5"/>
        <v>1160.2634841067811</v>
      </c>
      <c r="L11">
        <f t="shared" si="2"/>
        <v>479056.62693997042</v>
      </c>
      <c r="M11">
        <f t="shared" si="3"/>
        <v>3521326.7366943443</v>
      </c>
      <c r="N11">
        <f t="shared" si="6"/>
        <v>36.531523036771944</v>
      </c>
      <c r="P11" t="str">
        <f t="shared" si="7"/>
        <v/>
      </c>
    </row>
    <row r="12" spans="1:16">
      <c r="A12">
        <v>2010</v>
      </c>
      <c r="B12" t="s">
        <v>15</v>
      </c>
      <c r="C12">
        <v>45</v>
      </c>
      <c r="D12">
        <v>5</v>
      </c>
      <c r="E12">
        <v>2.5</v>
      </c>
      <c r="F12">
        <v>132346</v>
      </c>
      <c r="G12">
        <v>500.3</v>
      </c>
      <c r="H12">
        <f t="shared" si="4"/>
        <v>3.7802426971725628E-3</v>
      </c>
      <c r="I12">
        <f t="shared" si="0"/>
        <v>1.872425788801E-2</v>
      </c>
      <c r="J12">
        <f t="shared" si="1"/>
        <v>95231.193645940686</v>
      </c>
      <c r="K12">
        <f t="shared" si="5"/>
        <v>1783.1334288096127</v>
      </c>
      <c r="L12">
        <f t="shared" si="2"/>
        <v>471698.13465767942</v>
      </c>
      <c r="M12">
        <f t="shared" si="3"/>
        <v>3042270.1097543738</v>
      </c>
      <c r="N12">
        <f t="shared" si="6"/>
        <v>31.946151185137992</v>
      </c>
      <c r="P12" t="str">
        <f t="shared" si="7"/>
        <v/>
      </c>
    </row>
    <row r="13" spans="1:16">
      <c r="A13">
        <v>2010</v>
      </c>
      <c r="B13" t="s">
        <v>15</v>
      </c>
      <c r="C13">
        <v>50</v>
      </c>
      <c r="D13">
        <v>5</v>
      </c>
      <c r="E13">
        <v>2.5</v>
      </c>
      <c r="F13">
        <v>120315</v>
      </c>
      <c r="G13">
        <v>718.6</v>
      </c>
      <c r="H13">
        <f t="shared" si="4"/>
        <v>5.9726551136599759E-3</v>
      </c>
      <c r="I13">
        <f t="shared" si="0"/>
        <v>2.9423928131257091E-2</v>
      </c>
      <c r="J13">
        <f t="shared" si="1"/>
        <v>93448.060217131075</v>
      </c>
      <c r="K13">
        <f t="shared" si="5"/>
        <v>2749.6090078342495</v>
      </c>
      <c r="L13">
        <f t="shared" si="2"/>
        <v>460366.27856606973</v>
      </c>
      <c r="M13">
        <f t="shared" si="3"/>
        <v>2570571.9750966947</v>
      </c>
      <c r="N13">
        <f t="shared" si="6"/>
        <v>27.508029263784039</v>
      </c>
      <c r="P13" t="str">
        <f t="shared" si="7"/>
        <v/>
      </c>
    </row>
    <row r="14" spans="1:16">
      <c r="A14">
        <v>2010</v>
      </c>
      <c r="B14" t="s">
        <v>15</v>
      </c>
      <c r="C14">
        <v>55</v>
      </c>
      <c r="D14">
        <v>5</v>
      </c>
      <c r="E14">
        <v>2.5</v>
      </c>
      <c r="F14">
        <v>108283</v>
      </c>
      <c r="G14">
        <v>1038.06</v>
      </c>
      <c r="H14">
        <f t="shared" si="4"/>
        <v>9.586546364618637E-3</v>
      </c>
      <c r="I14">
        <f t="shared" si="0"/>
        <v>4.681084596018241E-2</v>
      </c>
      <c r="J14">
        <f t="shared" si="1"/>
        <v>90698.451209296822</v>
      </c>
      <c r="K14">
        <f t="shared" si="5"/>
        <v>4245.6712283855131</v>
      </c>
      <c r="L14">
        <f t="shared" si="2"/>
        <v>442878.07797552034</v>
      </c>
      <c r="M14">
        <f t="shared" si="3"/>
        <v>2110205.6965306248</v>
      </c>
      <c r="N14">
        <f t="shared" si="6"/>
        <v>23.266171234402769</v>
      </c>
      <c r="P14" t="str">
        <f t="shared" si="7"/>
        <v/>
      </c>
    </row>
    <row r="15" spans="1:16">
      <c r="A15">
        <v>2010</v>
      </c>
      <c r="B15" t="s">
        <v>15</v>
      </c>
      <c r="C15">
        <v>60</v>
      </c>
      <c r="D15">
        <v>5</v>
      </c>
      <c r="E15">
        <v>2.5</v>
      </c>
      <c r="F15">
        <v>96252</v>
      </c>
      <c r="G15">
        <v>1470.12</v>
      </c>
      <c r="H15">
        <f t="shared" si="4"/>
        <v>1.5273656651290362E-2</v>
      </c>
      <c r="I15">
        <f t="shared" si="0"/>
        <v>7.3559477740317222E-2</v>
      </c>
      <c r="J15">
        <f t="shared" si="1"/>
        <v>86452.779980911306</v>
      </c>
      <c r="K15">
        <f t="shared" si="5"/>
        <v>6359.4213445943878</v>
      </c>
      <c r="L15">
        <f t="shared" si="2"/>
        <v>416365.34654307057</v>
      </c>
      <c r="M15">
        <f t="shared" si="3"/>
        <v>1667327.6185551046</v>
      </c>
      <c r="N15">
        <f t="shared" si="6"/>
        <v>19.285991947549274</v>
      </c>
      <c r="P15" t="str">
        <f t="shared" si="7"/>
        <v/>
      </c>
    </row>
    <row r="16" spans="1:16">
      <c r="A16">
        <v>2010</v>
      </c>
      <c r="B16" t="s">
        <v>15</v>
      </c>
      <c r="C16">
        <v>65</v>
      </c>
      <c r="D16">
        <v>5</v>
      </c>
      <c r="E16">
        <v>2.5</v>
      </c>
      <c r="F16">
        <v>84220</v>
      </c>
      <c r="G16">
        <v>2030.29</v>
      </c>
      <c r="H16">
        <f t="shared" si="4"/>
        <v>2.4106981714557111E-2</v>
      </c>
      <c r="I16">
        <f t="shared" si="0"/>
        <v>0.11368349380667439</v>
      </c>
      <c r="J16">
        <f t="shared" si="1"/>
        <v>80093.358636316916</v>
      </c>
      <c r="K16">
        <f t="shared" si="5"/>
        <v>9105.2928404874856</v>
      </c>
      <c r="L16">
        <f t="shared" si="2"/>
        <v>377703.56108036585</v>
      </c>
      <c r="M16">
        <f t="shared" si="3"/>
        <v>1250962.272012034</v>
      </c>
      <c r="N16">
        <f t="shared" si="6"/>
        <v>15.618801525009431</v>
      </c>
      <c r="P16" t="str">
        <f t="shared" si="7"/>
        <v/>
      </c>
    </row>
    <row r="17" spans="1:16">
      <c r="A17">
        <v>2010</v>
      </c>
      <c r="B17" t="s">
        <v>15</v>
      </c>
      <c r="C17">
        <v>70</v>
      </c>
      <c r="D17">
        <v>5</v>
      </c>
      <c r="E17">
        <v>2.5</v>
      </c>
      <c r="F17">
        <v>72189</v>
      </c>
      <c r="G17">
        <v>2749.28</v>
      </c>
      <c r="H17">
        <f t="shared" si="4"/>
        <v>3.8084472703597501E-2</v>
      </c>
      <c r="I17">
        <f t="shared" si="0"/>
        <v>0.17386816961835111</v>
      </c>
      <c r="J17">
        <f t="shared" si="1"/>
        <v>70988.065795829432</v>
      </c>
      <c r="K17">
        <f t="shared" si="5"/>
        <v>12342.565064667941</v>
      </c>
      <c r="L17">
        <f t="shared" si="2"/>
        <v>324083.9163174773</v>
      </c>
      <c r="M17">
        <f t="shared" si="3"/>
        <v>873258.71093166817</v>
      </c>
      <c r="N17">
        <f t="shared" si="6"/>
        <v>12.301486188442851</v>
      </c>
      <c r="P17" t="str">
        <f t="shared" si="7"/>
        <v/>
      </c>
    </row>
    <row r="18" spans="1:16">
      <c r="A18">
        <v>2010</v>
      </c>
      <c r="B18" t="s">
        <v>15</v>
      </c>
      <c r="C18">
        <v>75</v>
      </c>
      <c r="D18">
        <v>5</v>
      </c>
      <c r="E18">
        <v>2.5</v>
      </c>
      <c r="F18">
        <v>60157</v>
      </c>
      <c r="G18">
        <v>3715.18</v>
      </c>
      <c r="H18">
        <f t="shared" si="4"/>
        <v>6.1758066392938474E-2</v>
      </c>
      <c r="I18">
        <f t="shared" si="0"/>
        <v>0.2674910126654278</v>
      </c>
      <c r="J18">
        <f t="shared" si="1"/>
        <v>58645.50073116149</v>
      </c>
      <c r="K18">
        <f t="shared" si="5"/>
        <v>15687.144378849473</v>
      </c>
      <c r="L18">
        <f t="shared" si="2"/>
        <v>254009.64270868379</v>
      </c>
      <c r="M18">
        <f t="shared" si="3"/>
        <v>549174.79461419082</v>
      </c>
      <c r="N18">
        <f t="shared" si="6"/>
        <v>9.3643124837773772</v>
      </c>
      <c r="P18" t="str">
        <f t="shared" si="7"/>
        <v/>
      </c>
    </row>
    <row r="19" spans="1:16">
      <c r="A19">
        <v>2010</v>
      </c>
      <c r="B19" t="s">
        <v>15</v>
      </c>
      <c r="C19">
        <v>80</v>
      </c>
      <c r="D19">
        <v>5</v>
      </c>
      <c r="E19">
        <v>2.5</v>
      </c>
      <c r="F19">
        <v>48126</v>
      </c>
      <c r="G19">
        <v>4831.17</v>
      </c>
      <c r="H19">
        <f t="shared" si="4"/>
        <v>0.10038586211195612</v>
      </c>
      <c r="I19">
        <f t="shared" si="0"/>
        <v>0.40123380659981889</v>
      </c>
      <c r="J19">
        <f t="shared" si="1"/>
        <v>42958.356352312017</v>
      </c>
      <c r="K19">
        <f t="shared" si="5"/>
        <v>17236.344844509662</v>
      </c>
      <c r="L19">
        <f t="shared" si="2"/>
        <v>171700.91965028594</v>
      </c>
      <c r="M19">
        <f t="shared" si="3"/>
        <v>295165.15190550702</v>
      </c>
      <c r="N19">
        <f t="shared" si="6"/>
        <v>6.8709600871314818</v>
      </c>
      <c r="P19" t="str">
        <f t="shared" si="7"/>
        <v/>
      </c>
    </row>
    <row r="20" spans="1:16">
      <c r="A20">
        <v>2010</v>
      </c>
      <c r="B20" t="s">
        <v>15</v>
      </c>
      <c r="C20">
        <v>85</v>
      </c>
      <c r="D20">
        <v>999</v>
      </c>
      <c r="F20">
        <v>36094</v>
      </c>
      <c r="G20">
        <v>7519.67</v>
      </c>
      <c r="H20">
        <f t="shared" si="4"/>
        <v>0.20833573447110323</v>
      </c>
      <c r="I20">
        <f t="shared" si="0"/>
        <v>1</v>
      </c>
      <c r="J20">
        <f t="shared" si="1"/>
        <v>25722.011507802355</v>
      </c>
      <c r="K20">
        <f t="shared" si="5"/>
        <v>25722.011507802355</v>
      </c>
      <c r="L20">
        <f t="shared" si="2"/>
        <v>123464.23225522107</v>
      </c>
      <c r="M20">
        <f t="shared" si="3"/>
        <v>123464.23225522107</v>
      </c>
      <c r="N20">
        <f t="shared" si="6"/>
        <v>4.7999446784233886</v>
      </c>
      <c r="P20" t="str">
        <f t="shared" si="7"/>
        <v/>
      </c>
    </row>
    <row r="21" spans="1:16">
      <c r="A21">
        <v>2010</v>
      </c>
      <c r="B21" t="s">
        <v>16</v>
      </c>
      <c r="C21">
        <v>0</v>
      </c>
      <c r="D21">
        <v>1</v>
      </c>
      <c r="E21">
        <v>0.1</v>
      </c>
      <c r="F21">
        <v>36239</v>
      </c>
      <c r="G21">
        <v>137.09</v>
      </c>
      <c r="H21">
        <f t="shared" si="4"/>
        <v>3.7829410303816331E-3</v>
      </c>
      <c r="I21">
        <f t="shared" si="0"/>
        <v>3.7701051534551602E-3</v>
      </c>
      <c r="J21">
        <f t="shared" si="1"/>
        <v>100000</v>
      </c>
      <c r="K21">
        <f t="shared" si="5"/>
        <v>377.01051534551601</v>
      </c>
      <c r="L21">
        <f t="shared" si="2"/>
        <v>99660.690536189039</v>
      </c>
      <c r="M21">
        <f t="shared" si="3"/>
        <v>8029999.8765702378</v>
      </c>
      <c r="N21">
        <f t="shared" si="6"/>
        <v>80.299998765702384</v>
      </c>
      <c r="P21">
        <f t="shared" si="7"/>
        <v>4.7000012342976163</v>
      </c>
    </row>
    <row r="22" spans="1:16">
      <c r="A22">
        <v>2010</v>
      </c>
      <c r="B22" t="s">
        <v>16</v>
      </c>
      <c r="C22">
        <v>1</v>
      </c>
      <c r="D22">
        <v>4</v>
      </c>
      <c r="E22">
        <v>2</v>
      </c>
      <c r="F22">
        <v>144956</v>
      </c>
      <c r="G22">
        <v>32.369999999999997</v>
      </c>
      <c r="H22">
        <f t="shared" si="4"/>
        <v>2.233091420844946E-4</v>
      </c>
      <c r="I22">
        <f t="shared" si="0"/>
        <v>8.9283781064694611E-4</v>
      </c>
      <c r="J22">
        <f t="shared" si="1"/>
        <v>99622.989484654478</v>
      </c>
      <c r="K22">
        <f t="shared" si="5"/>
        <v>88.947171821582643</v>
      </c>
      <c r="L22">
        <f t="shared" si="2"/>
        <v>398314.06359497475</v>
      </c>
      <c r="M22">
        <f t="shared" si="3"/>
        <v>7930339.186034048</v>
      </c>
      <c r="N22">
        <f t="shared" si="6"/>
        <v>79.603505446457262</v>
      </c>
      <c r="P22" t="str">
        <f t="shared" si="7"/>
        <v/>
      </c>
    </row>
    <row r="23" spans="1:16">
      <c r="A23">
        <v>2010</v>
      </c>
      <c r="B23" t="s">
        <v>16</v>
      </c>
      <c r="C23">
        <v>5</v>
      </c>
      <c r="D23">
        <v>5</v>
      </c>
      <c r="E23">
        <v>2.5</v>
      </c>
      <c r="F23">
        <v>193275</v>
      </c>
      <c r="G23">
        <v>17.260000000000002</v>
      </c>
      <c r="H23">
        <f t="shared" si="4"/>
        <v>8.9302806881386636E-5</v>
      </c>
      <c r="I23">
        <f t="shared" si="0"/>
        <v>4.4641436926641406E-4</v>
      </c>
      <c r="J23">
        <f t="shared" si="1"/>
        <v>99534.042312832898</v>
      </c>
      <c r="K23">
        <f t="shared" si="5"/>
        <v>44.433426719619867</v>
      </c>
      <c r="L23">
        <f t="shared" si="2"/>
        <v>497559.12799736543</v>
      </c>
      <c r="M23">
        <f t="shared" si="3"/>
        <v>7532025.1224390734</v>
      </c>
      <c r="N23">
        <f t="shared" si="6"/>
        <v>75.672854708001452</v>
      </c>
      <c r="P23" t="str">
        <f t="shared" si="7"/>
        <v/>
      </c>
    </row>
    <row r="24" spans="1:16">
      <c r="A24">
        <v>2010</v>
      </c>
      <c r="B24" t="s">
        <v>16</v>
      </c>
      <c r="C24">
        <v>10</v>
      </c>
      <c r="D24">
        <v>5</v>
      </c>
      <c r="E24">
        <v>2.5</v>
      </c>
      <c r="F24">
        <v>193275</v>
      </c>
      <c r="G24">
        <v>21.1</v>
      </c>
      <c r="H24">
        <f t="shared" si="4"/>
        <v>1.0917087052127797E-4</v>
      </c>
      <c r="I24">
        <f t="shared" si="0"/>
        <v>5.4570541476844383E-4</v>
      </c>
      <c r="J24">
        <f t="shared" si="1"/>
        <v>99489.608886113274</v>
      </c>
      <c r="K24">
        <f t="shared" si="5"/>
        <v>54.292018282346696</v>
      </c>
      <c r="L24">
        <f t="shared" si="2"/>
        <v>497312.31438486051</v>
      </c>
      <c r="M24">
        <f t="shared" si="3"/>
        <v>7034465.9944417085</v>
      </c>
      <c r="N24">
        <f t="shared" si="6"/>
        <v>70.705534710606116</v>
      </c>
      <c r="P24" t="str">
        <f t="shared" si="7"/>
        <v/>
      </c>
    </row>
    <row r="25" spans="1:16">
      <c r="A25">
        <v>2010</v>
      </c>
      <c r="B25" t="s">
        <v>16</v>
      </c>
      <c r="C25">
        <v>15</v>
      </c>
      <c r="D25">
        <v>5</v>
      </c>
      <c r="E25">
        <v>2.5</v>
      </c>
      <c r="F25">
        <v>181196</v>
      </c>
      <c r="G25">
        <v>32.369999999999997</v>
      </c>
      <c r="H25">
        <f t="shared" si="4"/>
        <v>1.7864632773350404E-4</v>
      </c>
      <c r="I25">
        <f t="shared" si="0"/>
        <v>8.9283288537688951E-4</v>
      </c>
      <c r="J25">
        <f t="shared" si="1"/>
        <v>99435.31686783093</v>
      </c>
      <c r="K25">
        <f t="shared" si="5"/>
        <v>88.77912086747078</v>
      </c>
      <c r="L25">
        <f t="shared" si="2"/>
        <v>496954.63653698599</v>
      </c>
      <c r="M25">
        <f t="shared" si="3"/>
        <v>6537153.6800568476</v>
      </c>
      <c r="N25">
        <f t="shared" si="6"/>
        <v>65.742775162531132</v>
      </c>
      <c r="P25" t="str">
        <f t="shared" si="7"/>
        <v/>
      </c>
    </row>
    <row r="26" spans="1:16">
      <c r="A26">
        <v>2010</v>
      </c>
      <c r="B26" t="s">
        <v>16</v>
      </c>
      <c r="C26">
        <v>20</v>
      </c>
      <c r="D26">
        <v>5</v>
      </c>
      <c r="E26">
        <v>2.5</v>
      </c>
      <c r="F26">
        <v>181196</v>
      </c>
      <c r="G26">
        <v>43.17</v>
      </c>
      <c r="H26">
        <f t="shared" si="4"/>
        <v>2.3825029250093823E-4</v>
      </c>
      <c r="I26">
        <f t="shared" si="0"/>
        <v>1.1905423448499532E-3</v>
      </c>
      <c r="J26">
        <f t="shared" si="1"/>
        <v>99346.537746963455</v>
      </c>
      <c r="K26">
        <f t="shared" si="5"/>
        <v>118.27626000199426</v>
      </c>
      <c r="L26">
        <f t="shared" si="2"/>
        <v>496436.99808481225</v>
      </c>
      <c r="M26">
        <f t="shared" si="3"/>
        <v>6040199.0435198611</v>
      </c>
      <c r="N26">
        <f t="shared" si="6"/>
        <v>60.799290851023954</v>
      </c>
      <c r="P26" t="str">
        <f t="shared" si="7"/>
        <v/>
      </c>
    </row>
    <row r="27" spans="1:16">
      <c r="A27">
        <v>2010</v>
      </c>
      <c r="B27" t="s">
        <v>16</v>
      </c>
      <c r="C27">
        <v>25</v>
      </c>
      <c r="D27">
        <v>5</v>
      </c>
      <c r="E27">
        <v>2.5</v>
      </c>
      <c r="F27">
        <v>169116</v>
      </c>
      <c r="G27">
        <v>53.73</v>
      </c>
      <c r="H27">
        <f t="shared" si="4"/>
        <v>3.1771092031504999E-4</v>
      </c>
      <c r="I27">
        <f t="shared" si="0"/>
        <v>1.5872938501004354E-3</v>
      </c>
      <c r="J27">
        <f t="shared" si="1"/>
        <v>99228.261486961463</v>
      </c>
      <c r="K27">
        <f t="shared" si="5"/>
        <v>157.50440921441182</v>
      </c>
      <c r="L27">
        <f t="shared" si="2"/>
        <v>495747.54641177127</v>
      </c>
      <c r="M27">
        <f t="shared" si="3"/>
        <v>5543762.0454350486</v>
      </c>
      <c r="N27">
        <f t="shared" si="6"/>
        <v>55.868781356846569</v>
      </c>
      <c r="P27" t="str">
        <f t="shared" si="7"/>
        <v/>
      </c>
    </row>
    <row r="28" spans="1:16">
      <c r="A28">
        <v>2010</v>
      </c>
      <c r="B28" t="s">
        <v>16</v>
      </c>
      <c r="C28">
        <v>30</v>
      </c>
      <c r="D28">
        <v>5</v>
      </c>
      <c r="E28">
        <v>2.5</v>
      </c>
      <c r="F28">
        <v>169116</v>
      </c>
      <c r="G28">
        <v>73.900000000000006</v>
      </c>
      <c r="H28">
        <f t="shared" si="4"/>
        <v>4.369781688308617E-4</v>
      </c>
      <c r="I28">
        <f t="shared" si="0"/>
        <v>2.1825065748379735E-3</v>
      </c>
      <c r="J28">
        <f t="shared" si="1"/>
        <v>99070.757077747054</v>
      </c>
      <c r="K28">
        <f t="shared" si="5"/>
        <v>216.22257869635865</v>
      </c>
      <c r="L28">
        <f t="shared" si="2"/>
        <v>494813.22894199437</v>
      </c>
      <c r="M28">
        <f t="shared" si="3"/>
        <v>5048014.4990232773</v>
      </c>
      <c r="N28">
        <f t="shared" si="6"/>
        <v>50.953627971791747</v>
      </c>
      <c r="P28" t="str">
        <f t="shared" si="7"/>
        <v/>
      </c>
    </row>
    <row r="29" spans="1:16">
      <c r="A29">
        <v>2010</v>
      </c>
      <c r="B29" t="s">
        <v>16</v>
      </c>
      <c r="C29">
        <v>35</v>
      </c>
      <c r="D29">
        <v>5</v>
      </c>
      <c r="E29">
        <v>2.5</v>
      </c>
      <c r="F29">
        <v>157036</v>
      </c>
      <c r="G29">
        <v>99.87</v>
      </c>
      <c r="H29">
        <f t="shared" si="4"/>
        <v>6.3596882243561993E-4</v>
      </c>
      <c r="I29">
        <f t="shared" si="0"/>
        <v>3.1747964333051948E-3</v>
      </c>
      <c r="J29">
        <f t="shared" si="1"/>
        <v>98854.5344990507</v>
      </c>
      <c r="K29">
        <f t="shared" si="5"/>
        <v>313.84302354363149</v>
      </c>
      <c r="L29">
        <f t="shared" si="2"/>
        <v>493488.0649363944</v>
      </c>
      <c r="M29">
        <f t="shared" si="3"/>
        <v>4553201.2700812835</v>
      </c>
      <c r="N29">
        <f t="shared" si="6"/>
        <v>46.05960963910065</v>
      </c>
      <c r="P29" t="str">
        <f t="shared" si="7"/>
        <v/>
      </c>
    </row>
    <row r="30" spans="1:16">
      <c r="A30">
        <v>2010</v>
      </c>
      <c r="B30" t="s">
        <v>16</v>
      </c>
      <c r="C30">
        <v>40</v>
      </c>
      <c r="D30">
        <v>5</v>
      </c>
      <c r="E30">
        <v>2.5</v>
      </c>
      <c r="F30">
        <v>144956</v>
      </c>
      <c r="G30">
        <v>144.16999999999999</v>
      </c>
      <c r="H30">
        <f t="shared" si="4"/>
        <v>9.9457766494660447E-4</v>
      </c>
      <c r="I30">
        <f t="shared" si="0"/>
        <v>4.9605541837407577E-3</v>
      </c>
      <c r="J30">
        <f t="shared" si="1"/>
        <v>98540.691475507076</v>
      </c>
      <c r="K30">
        <f t="shared" si="5"/>
        <v>488.81643936753386</v>
      </c>
      <c r="L30">
        <f t="shared" si="2"/>
        <v>491481.41627911659</v>
      </c>
      <c r="M30">
        <f t="shared" si="3"/>
        <v>4059713.2051448906</v>
      </c>
      <c r="N30">
        <f t="shared" si="6"/>
        <v>41.198342982542989</v>
      </c>
      <c r="P30" t="str">
        <f t="shared" si="7"/>
        <v/>
      </c>
    </row>
    <row r="31" spans="1:16">
      <c r="A31">
        <v>2010</v>
      </c>
      <c r="B31" t="s">
        <v>16</v>
      </c>
      <c r="C31">
        <v>45</v>
      </c>
      <c r="D31">
        <v>5</v>
      </c>
      <c r="E31">
        <v>2.5</v>
      </c>
      <c r="F31">
        <v>132877</v>
      </c>
      <c r="G31">
        <v>225.06</v>
      </c>
      <c r="H31">
        <f t="shared" si="4"/>
        <v>1.6937468485892968E-3</v>
      </c>
      <c r="I31">
        <f t="shared" si="0"/>
        <v>8.4330257161196083E-3</v>
      </c>
      <c r="J31">
        <f t="shared" si="1"/>
        <v>98051.875036139536</v>
      </c>
      <c r="K31">
        <f t="shared" si="5"/>
        <v>826.87398369351092</v>
      </c>
      <c r="L31">
        <f t="shared" si="2"/>
        <v>488192.19022146385</v>
      </c>
      <c r="M31">
        <f t="shared" si="3"/>
        <v>3568231.7888657739</v>
      </c>
      <c r="N31">
        <f t="shared" si="6"/>
        <v>36.391265210895867</v>
      </c>
      <c r="P31" t="str">
        <f t="shared" si="7"/>
        <v/>
      </c>
    </row>
    <row r="32" spans="1:16">
      <c r="A32">
        <v>2010</v>
      </c>
      <c r="B32" t="s">
        <v>16</v>
      </c>
      <c r="C32">
        <v>50</v>
      </c>
      <c r="D32">
        <v>5</v>
      </c>
      <c r="E32">
        <v>2.5</v>
      </c>
      <c r="F32">
        <v>120797</v>
      </c>
      <c r="G32">
        <v>337.91</v>
      </c>
      <c r="H32">
        <f t="shared" si="4"/>
        <v>2.7973376822272079E-3</v>
      </c>
      <c r="I32">
        <f t="shared" si="0"/>
        <v>1.3889553979296997E-2</v>
      </c>
      <c r="J32">
        <f t="shared" si="1"/>
        <v>97225.001052446023</v>
      </c>
      <c r="K32">
        <f t="shared" si="5"/>
        <v>1350.4119002551563</v>
      </c>
      <c r="L32">
        <f t="shared" si="2"/>
        <v>482748.97551159223</v>
      </c>
      <c r="M32">
        <f t="shared" si="3"/>
        <v>3080039.5986443097</v>
      </c>
      <c r="N32">
        <f t="shared" si="6"/>
        <v>31.679501828782143</v>
      </c>
      <c r="P32" t="str">
        <f t="shared" si="7"/>
        <v/>
      </c>
    </row>
    <row r="33" spans="1:16">
      <c r="A33">
        <v>2010</v>
      </c>
      <c r="B33" t="s">
        <v>16</v>
      </c>
      <c r="C33">
        <v>55</v>
      </c>
      <c r="D33">
        <v>5</v>
      </c>
      <c r="E33">
        <v>2.5</v>
      </c>
      <c r="F33">
        <v>108717</v>
      </c>
      <c r="G33">
        <v>523.96</v>
      </c>
      <c r="H33">
        <f t="shared" si="4"/>
        <v>4.8194854530570199E-3</v>
      </c>
      <c r="I33">
        <f t="shared" si="0"/>
        <v>2.3810540876821943E-2</v>
      </c>
      <c r="J33">
        <f t="shared" si="1"/>
        <v>95874.589152190863</v>
      </c>
      <c r="K33">
        <f t="shared" si="5"/>
        <v>2282.8258240567502</v>
      </c>
      <c r="L33">
        <f t="shared" si="2"/>
        <v>473665.88120081241</v>
      </c>
      <c r="M33">
        <f t="shared" si="3"/>
        <v>2597290.6231327178</v>
      </c>
      <c r="N33">
        <f t="shared" si="6"/>
        <v>27.090500685325402</v>
      </c>
      <c r="P33" t="str">
        <f t="shared" si="7"/>
        <v/>
      </c>
    </row>
    <row r="34" spans="1:16">
      <c r="A34">
        <v>2010</v>
      </c>
      <c r="B34" t="s">
        <v>16</v>
      </c>
      <c r="C34">
        <v>60</v>
      </c>
      <c r="D34">
        <v>5</v>
      </c>
      <c r="E34">
        <v>2.5</v>
      </c>
      <c r="F34">
        <v>96638</v>
      </c>
      <c r="G34">
        <v>782.52</v>
      </c>
      <c r="H34">
        <f t="shared" si="4"/>
        <v>8.0974357913036286E-3</v>
      </c>
      <c r="I34">
        <f t="shared" ref="I34:I65" si="8">IF(C34=85,1,(D34*H34)/(1+(D34-IF(E34="",D34/2,E34))*H34))</f>
        <v>3.9683835678127437E-2</v>
      </c>
      <c r="J34">
        <f t="shared" ref="J34:J65" si="9">IF(OR(ROW()=2,A34&lt;&gt;A33,B34&lt;&gt;B33),100000,J33-K33)</f>
        <v>93591.763328134111</v>
      </c>
      <c r="K34">
        <f t="shared" si="5"/>
        <v>3714.0801567398676</v>
      </c>
      <c r="L34">
        <f t="shared" ref="L34:L65" si="10">IF(C34=85,J34/H34,D34*J34-(D34-E34)*K34)</f>
        <v>458673.61624882085</v>
      </c>
      <c r="M34">
        <f t="shared" ref="M34:M65" si="11">SUMIFS(L:L,A:A,A34,B:B,B34,C:C,"&gt;="&amp;C34)</f>
        <v>2123624.741931905</v>
      </c>
      <c r="N34">
        <f t="shared" si="6"/>
        <v>22.690295239832647</v>
      </c>
      <c r="P34" t="str">
        <f t="shared" si="7"/>
        <v/>
      </c>
    </row>
    <row r="35" spans="1:16">
      <c r="A35">
        <v>2010</v>
      </c>
      <c r="B35" t="s">
        <v>16</v>
      </c>
      <c r="C35">
        <v>65</v>
      </c>
      <c r="D35">
        <v>5</v>
      </c>
      <c r="E35">
        <v>2.5</v>
      </c>
      <c r="F35">
        <v>84558</v>
      </c>
      <c r="G35">
        <v>1126.9100000000001</v>
      </c>
      <c r="H35">
        <f t="shared" si="4"/>
        <v>1.3327065446202607E-2</v>
      </c>
      <c r="I35">
        <f t="shared" si="8"/>
        <v>6.4486778439323933E-2</v>
      </c>
      <c r="J35">
        <f t="shared" si="9"/>
        <v>89877.683171394237</v>
      </c>
      <c r="K35">
        <f t="shared" si="5"/>
        <v>5795.922241313453</v>
      </c>
      <c r="L35">
        <f t="shared" si="10"/>
        <v>434898.61025368754</v>
      </c>
      <c r="M35">
        <f t="shared" si="11"/>
        <v>1664951.1256830841</v>
      </c>
      <c r="N35">
        <f t="shared" si="6"/>
        <v>18.524633334262397</v>
      </c>
      <c r="P35" t="str">
        <f t="shared" si="7"/>
        <v/>
      </c>
    </row>
    <row r="36" spans="1:16">
      <c r="A36">
        <v>2010</v>
      </c>
      <c r="B36" t="s">
        <v>16</v>
      </c>
      <c r="C36">
        <v>70</v>
      </c>
      <c r="D36">
        <v>5</v>
      </c>
      <c r="E36">
        <v>2.5</v>
      </c>
      <c r="F36">
        <v>72478</v>
      </c>
      <c r="G36">
        <v>1592.99</v>
      </c>
      <c r="H36">
        <f t="shared" si="4"/>
        <v>2.1978945335136179E-2</v>
      </c>
      <c r="I36">
        <f t="shared" si="8"/>
        <v>0.10417081505182905</v>
      </c>
      <c r="J36">
        <f t="shared" si="9"/>
        <v>84081.760930080782</v>
      </c>
      <c r="K36">
        <f t="shared" si="5"/>
        <v>8758.8655670795506</v>
      </c>
      <c r="L36">
        <f t="shared" si="10"/>
        <v>398511.64073270501</v>
      </c>
      <c r="M36">
        <f t="shared" si="11"/>
        <v>1230052.5154293966</v>
      </c>
      <c r="N36">
        <f t="shared" si="6"/>
        <v>14.629243034672667</v>
      </c>
      <c r="P36" t="str">
        <f t="shared" si="7"/>
        <v/>
      </c>
    </row>
    <row r="37" spans="1:16">
      <c r="A37">
        <v>2010</v>
      </c>
      <c r="B37" t="s">
        <v>16</v>
      </c>
      <c r="C37">
        <v>75</v>
      </c>
      <c r="D37">
        <v>5</v>
      </c>
      <c r="E37">
        <v>2.5</v>
      </c>
      <c r="F37">
        <v>60399</v>
      </c>
      <c r="G37">
        <v>2224.96</v>
      </c>
      <c r="H37">
        <f t="shared" si="4"/>
        <v>3.6837695988344181E-2</v>
      </c>
      <c r="I37">
        <f t="shared" si="8"/>
        <v>0.16865621408884593</v>
      </c>
      <c r="J37">
        <f t="shared" si="9"/>
        <v>75322.895363001226</v>
      </c>
      <c r="K37">
        <f t="shared" si="5"/>
        <v>12703.674366134075</v>
      </c>
      <c r="L37">
        <f t="shared" si="10"/>
        <v>344855.29089967092</v>
      </c>
      <c r="M37">
        <f t="shared" si="11"/>
        <v>831540.87469669152</v>
      </c>
      <c r="N37">
        <f t="shared" si="6"/>
        <v>11.039682830688772</v>
      </c>
      <c r="P37" t="str">
        <f t="shared" si="7"/>
        <v/>
      </c>
    </row>
    <row r="38" spans="1:16">
      <c r="A38">
        <v>2010</v>
      </c>
      <c r="B38" t="s">
        <v>16</v>
      </c>
      <c r="C38">
        <v>80</v>
      </c>
      <c r="D38">
        <v>5</v>
      </c>
      <c r="E38">
        <v>2.5</v>
      </c>
      <c r="F38">
        <v>48319</v>
      </c>
      <c r="G38">
        <v>3117.48</v>
      </c>
      <c r="H38">
        <f t="shared" si="4"/>
        <v>6.4518719344357295E-2</v>
      </c>
      <c r="I38">
        <f t="shared" si="8"/>
        <v>0.27778738146622778</v>
      </c>
      <c r="J38">
        <f t="shared" si="9"/>
        <v>62619.220996867152</v>
      </c>
      <c r="K38">
        <f t="shared" si="5"/>
        <v>17394.829430174756</v>
      </c>
      <c r="L38">
        <f t="shared" si="10"/>
        <v>269609.03140889888</v>
      </c>
      <c r="M38">
        <f t="shared" si="11"/>
        <v>486685.58379702066</v>
      </c>
      <c r="N38">
        <f t="shared" si="6"/>
        <v>7.7721436972422513</v>
      </c>
      <c r="P38" t="str">
        <f t="shared" si="7"/>
        <v/>
      </c>
    </row>
    <row r="39" spans="1:16">
      <c r="A39">
        <v>2010</v>
      </c>
      <c r="B39" t="s">
        <v>16</v>
      </c>
      <c r="C39">
        <v>85</v>
      </c>
      <c r="D39">
        <v>999</v>
      </c>
      <c r="F39">
        <v>36239</v>
      </c>
      <c r="G39">
        <v>7549.81</v>
      </c>
      <c r="H39">
        <f t="shared" si="4"/>
        <v>0.20833383923397447</v>
      </c>
      <c r="I39">
        <f t="shared" si="8"/>
        <v>1</v>
      </c>
      <c r="J39">
        <f t="shared" si="9"/>
        <v>45224.3915666924</v>
      </c>
      <c r="K39">
        <f t="shared" si="5"/>
        <v>45224.3915666924</v>
      </c>
      <c r="L39">
        <f t="shared" si="10"/>
        <v>217076.55238812178</v>
      </c>
      <c r="M39">
        <f t="shared" si="11"/>
        <v>217076.55238812178</v>
      </c>
      <c r="N39">
        <f t="shared" si="6"/>
        <v>4.7999883440775326</v>
      </c>
      <c r="P39" t="str">
        <f t="shared" si="7"/>
        <v/>
      </c>
    </row>
    <row r="40" spans="1:16">
      <c r="A40">
        <v>2019</v>
      </c>
      <c r="B40" t="s">
        <v>15</v>
      </c>
      <c r="C40">
        <v>0</v>
      </c>
      <c r="D40">
        <v>1</v>
      </c>
      <c r="E40">
        <v>0.1</v>
      </c>
      <c r="F40">
        <v>43436</v>
      </c>
      <c r="G40">
        <v>258.14</v>
      </c>
      <c r="H40">
        <f t="shared" si="4"/>
        <v>5.9429965926880929E-3</v>
      </c>
      <c r="I40">
        <f t="shared" si="8"/>
        <v>5.9113784210551145E-3</v>
      </c>
      <c r="J40">
        <f t="shared" si="9"/>
        <v>100000</v>
      </c>
      <c r="K40">
        <f t="shared" si="5"/>
        <v>591.13784210551148</v>
      </c>
      <c r="L40">
        <f t="shared" si="10"/>
        <v>99467.97594210504</v>
      </c>
      <c r="M40">
        <f t="shared" si="11"/>
        <v>7479999.4973788178</v>
      </c>
      <c r="N40">
        <f t="shared" si="6"/>
        <v>74.799994973788174</v>
      </c>
      <c r="P40">
        <f t="shared" si="7"/>
        <v>10.200005026211826</v>
      </c>
    </row>
    <row r="41" spans="1:16">
      <c r="A41">
        <v>2019</v>
      </c>
      <c r="B41" t="s">
        <v>15</v>
      </c>
      <c r="C41">
        <v>1</v>
      </c>
      <c r="D41">
        <v>4</v>
      </c>
      <c r="E41">
        <v>2</v>
      </c>
      <c r="F41">
        <v>173745</v>
      </c>
      <c r="G41">
        <v>68.52</v>
      </c>
      <c r="H41">
        <f t="shared" si="4"/>
        <v>3.9437106103772768E-4</v>
      </c>
      <c r="I41">
        <f t="shared" si="8"/>
        <v>1.576240996482443E-3</v>
      </c>
      <c r="J41">
        <f t="shared" si="9"/>
        <v>99408.862157894488</v>
      </c>
      <c r="K41">
        <f t="shared" si="5"/>
        <v>156.69232394694544</v>
      </c>
      <c r="L41">
        <f t="shared" si="10"/>
        <v>397322.06398368406</v>
      </c>
      <c r="M41">
        <f t="shared" si="11"/>
        <v>7380531.5214367127</v>
      </c>
      <c r="N41">
        <f t="shared" si="6"/>
        <v>74.244200780750944</v>
      </c>
      <c r="P41" t="str">
        <f t="shared" si="7"/>
        <v/>
      </c>
    </row>
    <row r="42" spans="1:16">
      <c r="A42">
        <v>2019</v>
      </c>
      <c r="B42" t="s">
        <v>15</v>
      </c>
      <c r="C42">
        <v>5</v>
      </c>
      <c r="D42">
        <v>5</v>
      </c>
      <c r="E42">
        <v>2.5</v>
      </c>
      <c r="F42">
        <v>231660</v>
      </c>
      <c r="G42">
        <v>36.53</v>
      </c>
      <c r="H42">
        <f t="shared" si="4"/>
        <v>1.5768799102132435E-4</v>
      </c>
      <c r="I42">
        <f t="shared" si="8"/>
        <v>7.8812925880790538E-4</v>
      </c>
      <c r="J42">
        <f t="shared" si="9"/>
        <v>99252.169833947541</v>
      </c>
      <c r="K42">
        <f t="shared" si="5"/>
        <v>78.223539046305419</v>
      </c>
      <c r="L42">
        <f t="shared" si="10"/>
        <v>496065.29032212193</v>
      </c>
      <c r="M42">
        <f t="shared" si="11"/>
        <v>6983209.4574530292</v>
      </c>
      <c r="N42">
        <f t="shared" si="6"/>
        <v>70.358254828445467</v>
      </c>
      <c r="P42" t="str">
        <f t="shared" si="7"/>
        <v/>
      </c>
    </row>
    <row r="43" spans="1:16">
      <c r="A43">
        <v>2019</v>
      </c>
      <c r="B43" t="s">
        <v>15</v>
      </c>
      <c r="C43">
        <v>10</v>
      </c>
      <c r="D43">
        <v>5</v>
      </c>
      <c r="E43">
        <v>2.5</v>
      </c>
      <c r="F43">
        <v>231660</v>
      </c>
      <c r="G43">
        <v>48.72</v>
      </c>
      <c r="H43">
        <f t="shared" si="4"/>
        <v>2.1030821030821031E-4</v>
      </c>
      <c r="I43">
        <f t="shared" si="8"/>
        <v>1.0509884727791397E-3</v>
      </c>
      <c r="J43">
        <f t="shared" si="9"/>
        <v>99173.946294901238</v>
      </c>
      <c r="K43">
        <f t="shared" si="5"/>
        <v>104.23067435595867</v>
      </c>
      <c r="L43">
        <f t="shared" si="10"/>
        <v>495609.15478861629</v>
      </c>
      <c r="M43">
        <f t="shared" si="11"/>
        <v>6487144.1671309061</v>
      </c>
      <c r="N43">
        <f t="shared" si="6"/>
        <v>65.411778087774096</v>
      </c>
      <c r="P43" t="str">
        <f t="shared" si="7"/>
        <v/>
      </c>
    </row>
    <row r="44" spans="1:16">
      <c r="A44">
        <v>2019</v>
      </c>
      <c r="B44" t="s">
        <v>15</v>
      </c>
      <c r="C44">
        <v>15</v>
      </c>
      <c r="D44">
        <v>5</v>
      </c>
      <c r="E44">
        <v>2.5</v>
      </c>
      <c r="F44">
        <v>217181</v>
      </c>
      <c r="G44">
        <v>102.83</v>
      </c>
      <c r="H44">
        <f t="shared" si="4"/>
        <v>4.7347604072179428E-4</v>
      </c>
      <c r="I44">
        <f t="shared" si="8"/>
        <v>2.3645812721622005E-3</v>
      </c>
      <c r="J44">
        <f t="shared" si="9"/>
        <v>99069.715620545277</v>
      </c>
      <c r="K44">
        <f t="shared" si="5"/>
        <v>234.25839419477637</v>
      </c>
      <c r="L44">
        <f t="shared" si="10"/>
        <v>494762.93211723946</v>
      </c>
      <c r="M44">
        <f t="shared" si="11"/>
        <v>5991535.01234229</v>
      </c>
      <c r="N44">
        <f t="shared" si="6"/>
        <v>60.477967205345983</v>
      </c>
      <c r="P44" t="str">
        <f t="shared" si="7"/>
        <v/>
      </c>
    </row>
    <row r="45" spans="1:16">
      <c r="A45">
        <v>2019</v>
      </c>
      <c r="B45" t="s">
        <v>15</v>
      </c>
      <c r="C45">
        <v>20</v>
      </c>
      <c r="D45">
        <v>5</v>
      </c>
      <c r="E45">
        <v>2.5</v>
      </c>
      <c r="F45">
        <v>217181</v>
      </c>
      <c r="G45">
        <v>171.51</v>
      </c>
      <c r="H45">
        <f t="shared" si="4"/>
        <v>7.8970996542054774E-4</v>
      </c>
      <c r="I45">
        <f t="shared" si="8"/>
        <v>3.940769664414201E-3</v>
      </c>
      <c r="J45">
        <f t="shared" si="9"/>
        <v>98835.457226350496</v>
      </c>
      <c r="K45">
        <f t="shared" si="5"/>
        <v>389.48777160610933</v>
      </c>
      <c r="L45">
        <f t="shared" si="10"/>
        <v>493203.56670273718</v>
      </c>
      <c r="M45">
        <f t="shared" si="11"/>
        <v>5496772.0802250504</v>
      </c>
      <c r="N45">
        <f t="shared" si="6"/>
        <v>55.615385758134153</v>
      </c>
      <c r="P45" t="str">
        <f t="shared" si="7"/>
        <v/>
      </c>
    </row>
    <row r="46" spans="1:16">
      <c r="A46">
        <v>2019</v>
      </c>
      <c r="B46" t="s">
        <v>15</v>
      </c>
      <c r="C46">
        <v>25</v>
      </c>
      <c r="D46">
        <v>5</v>
      </c>
      <c r="E46">
        <v>2.5</v>
      </c>
      <c r="F46">
        <v>202703</v>
      </c>
      <c r="G46">
        <v>213.58</v>
      </c>
      <c r="H46">
        <f t="shared" si="4"/>
        <v>1.0536597879656443E-3</v>
      </c>
      <c r="I46">
        <f t="shared" si="8"/>
        <v>5.2544579123038407E-3</v>
      </c>
      <c r="J46">
        <f t="shared" si="9"/>
        <v>98445.96945474438</v>
      </c>
      <c r="K46">
        <f t="shared" si="5"/>
        <v>517.28020313590378</v>
      </c>
      <c r="L46">
        <f t="shared" si="10"/>
        <v>490936.64676588215</v>
      </c>
      <c r="M46">
        <f t="shared" si="11"/>
        <v>5003568.5135223139</v>
      </c>
      <c r="N46">
        <f t="shared" si="6"/>
        <v>50.825529386680017</v>
      </c>
      <c r="P46" t="str">
        <f t="shared" si="7"/>
        <v/>
      </c>
    </row>
    <row r="47" spans="1:16">
      <c r="A47">
        <v>2019</v>
      </c>
      <c r="B47" t="s">
        <v>15</v>
      </c>
      <c r="C47">
        <v>30</v>
      </c>
      <c r="D47">
        <v>5</v>
      </c>
      <c r="E47">
        <v>2.5</v>
      </c>
      <c r="F47">
        <v>202703</v>
      </c>
      <c r="G47">
        <v>267.14999999999998</v>
      </c>
      <c r="H47">
        <f t="shared" si="4"/>
        <v>1.3179380670241682E-3</v>
      </c>
      <c r="I47">
        <f t="shared" si="8"/>
        <v>6.5680496285419419E-3</v>
      </c>
      <c r="J47">
        <f t="shared" si="9"/>
        <v>97928.689251608477</v>
      </c>
      <c r="K47">
        <f t="shared" si="5"/>
        <v>643.20049106262627</v>
      </c>
      <c r="L47">
        <f t="shared" si="10"/>
        <v>488035.4450303858</v>
      </c>
      <c r="M47">
        <f t="shared" si="11"/>
        <v>4512631.8667564308</v>
      </c>
      <c r="N47">
        <f t="shared" si="6"/>
        <v>46.080795130037046</v>
      </c>
      <c r="P47" t="str">
        <f t="shared" si="7"/>
        <v/>
      </c>
    </row>
    <row r="48" spans="1:16">
      <c r="A48">
        <v>2019</v>
      </c>
      <c r="B48" t="s">
        <v>15</v>
      </c>
      <c r="C48">
        <v>35</v>
      </c>
      <c r="D48">
        <v>5</v>
      </c>
      <c r="E48">
        <v>2.5</v>
      </c>
      <c r="F48">
        <v>188224</v>
      </c>
      <c r="G48">
        <v>322.81</v>
      </c>
      <c r="H48">
        <f t="shared" si="4"/>
        <v>1.7150310268616118E-3</v>
      </c>
      <c r="I48">
        <f t="shared" si="8"/>
        <v>8.5385454583447352E-3</v>
      </c>
      <c r="J48">
        <f t="shared" si="9"/>
        <v>97285.48876054585</v>
      </c>
      <c r="K48">
        <f t="shared" si="5"/>
        <v>830.6765682192065</v>
      </c>
      <c r="L48">
        <f t="shared" si="10"/>
        <v>484350.75238218124</v>
      </c>
      <c r="M48">
        <f t="shared" si="11"/>
        <v>4024596.4217260447</v>
      </c>
      <c r="N48">
        <f t="shared" si="6"/>
        <v>41.36892842911039</v>
      </c>
      <c r="P48" t="str">
        <f t="shared" si="7"/>
        <v/>
      </c>
    </row>
    <row r="49" spans="1:16">
      <c r="A49">
        <v>2019</v>
      </c>
      <c r="B49" t="s">
        <v>15</v>
      </c>
      <c r="C49">
        <v>40</v>
      </c>
      <c r="D49">
        <v>5</v>
      </c>
      <c r="E49">
        <v>2.5</v>
      </c>
      <c r="F49">
        <v>173745</v>
      </c>
      <c r="G49">
        <v>413.27</v>
      </c>
      <c r="H49">
        <f t="shared" si="4"/>
        <v>2.3786008230452676E-3</v>
      </c>
      <c r="I49">
        <f t="shared" si="8"/>
        <v>1.1822700402953629E-2</v>
      </c>
      <c r="J49">
        <f t="shared" si="9"/>
        <v>96454.812192326644</v>
      </c>
      <c r="K49">
        <f t="shared" si="5"/>
        <v>1140.3563469730368</v>
      </c>
      <c r="L49">
        <f t="shared" si="10"/>
        <v>479423.17009420064</v>
      </c>
      <c r="M49">
        <f t="shared" si="11"/>
        <v>3540245.6693438631</v>
      </c>
      <c r="N49">
        <f t="shared" si="6"/>
        <v>36.7036707539772</v>
      </c>
      <c r="P49" t="str">
        <f t="shared" si="7"/>
        <v/>
      </c>
    </row>
    <row r="50" spans="1:16">
      <c r="A50">
        <v>2019</v>
      </c>
      <c r="B50" t="s">
        <v>15</v>
      </c>
      <c r="C50">
        <v>45</v>
      </c>
      <c r="D50">
        <v>5</v>
      </c>
      <c r="E50">
        <v>2.5</v>
      </c>
      <c r="F50">
        <v>159266</v>
      </c>
      <c r="G50">
        <v>591.24</v>
      </c>
      <c r="H50">
        <f t="shared" si="4"/>
        <v>3.7122800848894302E-3</v>
      </c>
      <c r="I50">
        <f t="shared" si="8"/>
        <v>1.8390721650125882E-2</v>
      </c>
      <c r="J50">
        <f t="shared" si="9"/>
        <v>95314.455845353601</v>
      </c>
      <c r="K50">
        <f t="shared" si="5"/>
        <v>1752.901626685112</v>
      </c>
      <c r="L50">
        <f t="shared" si="10"/>
        <v>472190.0251600552</v>
      </c>
      <c r="M50">
        <f t="shared" si="11"/>
        <v>3060822.4992496627</v>
      </c>
      <c r="N50">
        <f t="shared" si="6"/>
        <v>32.112888565568745</v>
      </c>
      <c r="P50" t="str">
        <f t="shared" si="7"/>
        <v/>
      </c>
    </row>
    <row r="51" spans="1:16">
      <c r="A51">
        <v>2019</v>
      </c>
      <c r="B51" t="s">
        <v>15</v>
      </c>
      <c r="C51">
        <v>50</v>
      </c>
      <c r="D51">
        <v>5</v>
      </c>
      <c r="E51">
        <v>2.5</v>
      </c>
      <c r="F51">
        <v>144788</v>
      </c>
      <c r="G51">
        <v>849.13</v>
      </c>
      <c r="H51">
        <f t="shared" si="4"/>
        <v>5.8646434787413323E-3</v>
      </c>
      <c r="I51">
        <f t="shared" si="8"/>
        <v>2.8899504172003664E-2</v>
      </c>
      <c r="J51">
        <f t="shared" si="9"/>
        <v>93561.554218668491</v>
      </c>
      <c r="K51">
        <f t="shared" si="5"/>
        <v>2703.8825264815569</v>
      </c>
      <c r="L51">
        <f t="shared" si="10"/>
        <v>461048.06477713858</v>
      </c>
      <c r="M51">
        <f t="shared" si="11"/>
        <v>2588632.4740896071</v>
      </c>
      <c r="N51">
        <f t="shared" si="6"/>
        <v>27.667694233034588</v>
      </c>
      <c r="P51" t="str">
        <f t="shared" si="7"/>
        <v/>
      </c>
    </row>
    <row r="52" spans="1:16">
      <c r="A52">
        <v>2019</v>
      </c>
      <c r="B52" t="s">
        <v>15</v>
      </c>
      <c r="C52">
        <v>55</v>
      </c>
      <c r="D52">
        <v>5</v>
      </c>
      <c r="E52">
        <v>2.5</v>
      </c>
      <c r="F52">
        <v>130309</v>
      </c>
      <c r="G52">
        <v>1226.42</v>
      </c>
      <c r="H52">
        <f t="shared" si="4"/>
        <v>9.4116292811701422E-3</v>
      </c>
      <c r="I52">
        <f t="shared" si="8"/>
        <v>4.5976365144755331E-2</v>
      </c>
      <c r="J52">
        <f t="shared" si="9"/>
        <v>90857.671692186937</v>
      </c>
      <c r="K52">
        <f t="shared" si="5"/>
        <v>4177.3054899222871</v>
      </c>
      <c r="L52">
        <f t="shared" si="10"/>
        <v>443845.09473612899</v>
      </c>
      <c r="M52">
        <f t="shared" si="11"/>
        <v>2127584.4093124685</v>
      </c>
      <c r="N52">
        <f t="shared" si="6"/>
        <v>23.416673239442304</v>
      </c>
      <c r="P52" t="str">
        <f t="shared" si="7"/>
        <v/>
      </c>
    </row>
    <row r="53" spans="1:16">
      <c r="A53">
        <v>2019</v>
      </c>
      <c r="B53" t="s">
        <v>15</v>
      </c>
      <c r="C53">
        <v>60</v>
      </c>
      <c r="D53">
        <v>5</v>
      </c>
      <c r="E53">
        <v>2.5</v>
      </c>
      <c r="F53">
        <v>115830</v>
      </c>
      <c r="G53">
        <v>1736.45</v>
      </c>
      <c r="H53">
        <f t="shared" si="4"/>
        <v>1.4991366658033325E-2</v>
      </c>
      <c r="I53">
        <f t="shared" si="8"/>
        <v>7.2249053173131239E-2</v>
      </c>
      <c r="J53">
        <f t="shared" si="9"/>
        <v>86680.366202264646</v>
      </c>
      <c r="K53">
        <f t="shared" si="5"/>
        <v>6262.5743868139061</v>
      </c>
      <c r="L53">
        <f t="shared" si="10"/>
        <v>417745.39504428848</v>
      </c>
      <c r="M53">
        <f t="shared" si="11"/>
        <v>1683739.3145763399</v>
      </c>
      <c r="N53">
        <f t="shared" si="6"/>
        <v>19.424690830763357</v>
      </c>
      <c r="P53" t="str">
        <f t="shared" si="7"/>
        <v/>
      </c>
    </row>
    <row r="54" spans="1:16">
      <c r="A54">
        <v>2019</v>
      </c>
      <c r="B54" t="s">
        <v>15</v>
      </c>
      <c r="C54">
        <v>65</v>
      </c>
      <c r="D54">
        <v>5</v>
      </c>
      <c r="E54">
        <v>2.5</v>
      </c>
      <c r="F54">
        <v>101351</v>
      </c>
      <c r="G54">
        <v>2397.16</v>
      </c>
      <c r="H54">
        <f t="shared" si="4"/>
        <v>2.3652060660476953E-2</v>
      </c>
      <c r="I54">
        <f t="shared" si="8"/>
        <v>0.11165795168612282</v>
      </c>
      <c r="J54">
        <f t="shared" si="9"/>
        <v>80417.791815450735</v>
      </c>
      <c r="K54">
        <f t="shared" si="5"/>
        <v>8979.2859132342819</v>
      </c>
      <c r="L54">
        <f t="shared" si="10"/>
        <v>379640.74429416802</v>
      </c>
      <c r="M54">
        <f t="shared" si="11"/>
        <v>1265993.9195320513</v>
      </c>
      <c r="N54">
        <f t="shared" si="6"/>
        <v>15.742709305390488</v>
      </c>
      <c r="P54" t="str">
        <f t="shared" si="7"/>
        <v/>
      </c>
    </row>
    <row r="55" spans="1:16">
      <c r="A55">
        <v>2019</v>
      </c>
      <c r="B55" t="s">
        <v>15</v>
      </c>
      <c r="C55">
        <v>70</v>
      </c>
      <c r="D55">
        <v>5</v>
      </c>
      <c r="E55">
        <v>2.5</v>
      </c>
      <c r="F55">
        <v>86873</v>
      </c>
      <c r="G55">
        <v>3244.04</v>
      </c>
      <c r="H55">
        <f t="shared" si="4"/>
        <v>3.7342327305376816E-2</v>
      </c>
      <c r="I55">
        <f t="shared" si="8"/>
        <v>0.17076932633278974</v>
      </c>
      <c r="J55">
        <f t="shared" si="9"/>
        <v>71438.50590221645</v>
      </c>
      <c r="K55">
        <f t="shared" si="5"/>
        <v>12199.505527142526</v>
      </c>
      <c r="L55">
        <f t="shared" si="10"/>
        <v>326693.7656932259</v>
      </c>
      <c r="M55">
        <f t="shared" si="11"/>
        <v>886353.17523788323</v>
      </c>
      <c r="N55">
        <f t="shared" si="6"/>
        <v>12.407218824692459</v>
      </c>
      <c r="P55" t="str">
        <f t="shared" si="7"/>
        <v/>
      </c>
    </row>
    <row r="56" spans="1:16">
      <c r="A56">
        <v>2019</v>
      </c>
      <c r="B56" t="s">
        <v>15</v>
      </c>
      <c r="C56">
        <v>75</v>
      </c>
      <c r="D56">
        <v>5</v>
      </c>
      <c r="E56">
        <v>2.5</v>
      </c>
      <c r="F56">
        <v>72394</v>
      </c>
      <c r="G56">
        <v>4379.16</v>
      </c>
      <c r="H56">
        <f t="shared" si="4"/>
        <v>6.049064839627593E-2</v>
      </c>
      <c r="I56">
        <f t="shared" si="8"/>
        <v>0.2627225921175303</v>
      </c>
      <c r="J56">
        <f t="shared" si="9"/>
        <v>59239.000375073927</v>
      </c>
      <c r="K56">
        <f t="shared" si="5"/>
        <v>15563.423732990772</v>
      </c>
      <c r="L56">
        <f t="shared" si="10"/>
        <v>257286.44254289271</v>
      </c>
      <c r="M56">
        <f t="shared" si="11"/>
        <v>559659.40954465733</v>
      </c>
      <c r="N56">
        <f t="shared" si="6"/>
        <v>9.4474823342924932</v>
      </c>
      <c r="P56" t="str">
        <f t="shared" si="7"/>
        <v/>
      </c>
    </row>
    <row r="57" spans="1:16">
      <c r="A57">
        <v>2019</v>
      </c>
      <c r="B57" t="s">
        <v>15</v>
      </c>
      <c r="C57">
        <v>80</v>
      </c>
      <c r="D57">
        <v>5</v>
      </c>
      <c r="E57">
        <v>2.5</v>
      </c>
      <c r="F57">
        <v>57915</v>
      </c>
      <c r="G57">
        <v>5684.85</v>
      </c>
      <c r="H57">
        <f t="shared" si="4"/>
        <v>9.815850815850817E-2</v>
      </c>
      <c r="I57">
        <f t="shared" si="8"/>
        <v>0.39408544288989755</v>
      </c>
      <c r="J57">
        <f t="shared" si="9"/>
        <v>43675.576642083157</v>
      </c>
      <c r="K57">
        <f t="shared" si="5"/>
        <v>17211.908964467006</v>
      </c>
      <c r="L57">
        <f t="shared" si="10"/>
        <v>175348.11079924827</v>
      </c>
      <c r="M57">
        <f t="shared" si="11"/>
        <v>302372.96700176469</v>
      </c>
      <c r="N57">
        <f t="shared" si="6"/>
        <v>6.92315912574389</v>
      </c>
      <c r="P57" t="str">
        <f t="shared" si="7"/>
        <v/>
      </c>
    </row>
    <row r="58" spans="1:16">
      <c r="A58">
        <v>2019</v>
      </c>
      <c r="B58" t="s">
        <v>15</v>
      </c>
      <c r="C58">
        <v>85</v>
      </c>
      <c r="D58">
        <v>999</v>
      </c>
      <c r="F58">
        <v>43436</v>
      </c>
      <c r="G58">
        <v>9049.2199999999993</v>
      </c>
      <c r="H58">
        <f t="shared" si="4"/>
        <v>0.20833456119348004</v>
      </c>
      <c r="I58">
        <f t="shared" si="8"/>
        <v>1</v>
      </c>
      <c r="J58">
        <f t="shared" si="9"/>
        <v>26463.667677616151</v>
      </c>
      <c r="K58">
        <f t="shared" si="5"/>
        <v>26463.667677616151</v>
      </c>
      <c r="L58">
        <f t="shared" si="10"/>
        <v>127024.85620251638</v>
      </c>
      <c r="M58">
        <f t="shared" si="11"/>
        <v>127024.85620251638</v>
      </c>
      <c r="N58">
        <f t="shared" si="6"/>
        <v>4.7999717102689523</v>
      </c>
      <c r="P58" t="str">
        <f t="shared" si="7"/>
        <v/>
      </c>
    </row>
    <row r="59" spans="1:16">
      <c r="A59">
        <v>2019</v>
      </c>
      <c r="B59" t="s">
        <v>16</v>
      </c>
      <c r="C59">
        <v>0</v>
      </c>
      <c r="D59">
        <v>1</v>
      </c>
      <c r="E59">
        <v>0.1</v>
      </c>
      <c r="F59">
        <v>43610</v>
      </c>
      <c r="G59">
        <v>160.79</v>
      </c>
      <c r="H59">
        <f t="shared" si="4"/>
        <v>3.6869983948635632E-3</v>
      </c>
      <c r="I59">
        <f t="shared" si="8"/>
        <v>3.6748042970732907E-3</v>
      </c>
      <c r="J59">
        <f t="shared" si="9"/>
        <v>100000</v>
      </c>
      <c r="K59">
        <f t="shared" si="5"/>
        <v>367.48042970732905</v>
      </c>
      <c r="L59">
        <f t="shared" si="10"/>
        <v>99669.267613263408</v>
      </c>
      <c r="M59">
        <f t="shared" si="11"/>
        <v>8049994.8821976623</v>
      </c>
      <c r="N59">
        <f t="shared" si="6"/>
        <v>80.499948821976616</v>
      </c>
      <c r="P59">
        <f t="shared" si="7"/>
        <v>4.5000511780233836</v>
      </c>
    </row>
    <row r="60" spans="1:16">
      <c r="A60">
        <v>2019</v>
      </c>
      <c r="B60" t="s">
        <v>16</v>
      </c>
      <c r="C60">
        <v>1</v>
      </c>
      <c r="D60">
        <v>4</v>
      </c>
      <c r="E60">
        <v>2</v>
      </c>
      <c r="F60">
        <v>174441</v>
      </c>
      <c r="G60">
        <v>37.97</v>
      </c>
      <c r="H60">
        <f t="shared" si="4"/>
        <v>2.1766671826004206E-4</v>
      </c>
      <c r="I60">
        <f t="shared" si="8"/>
        <v>8.7028800757107006E-4</v>
      </c>
      <c r="J60">
        <f t="shared" si="9"/>
        <v>99632.519570292672</v>
      </c>
      <c r="K60">
        <f t="shared" si="5"/>
        <v>86.708986946115658</v>
      </c>
      <c r="L60">
        <f t="shared" si="10"/>
        <v>398356.66030727845</v>
      </c>
      <c r="M60">
        <f t="shared" si="11"/>
        <v>7950325.6145843985</v>
      </c>
      <c r="N60">
        <f t="shared" si="6"/>
        <v>79.796492639888427</v>
      </c>
      <c r="P60" t="str">
        <f t="shared" si="7"/>
        <v/>
      </c>
    </row>
    <row r="61" spans="1:16">
      <c r="A61">
        <v>2019</v>
      </c>
      <c r="B61" t="s">
        <v>16</v>
      </c>
      <c r="C61">
        <v>5</v>
      </c>
      <c r="D61">
        <v>5</v>
      </c>
      <c r="E61">
        <v>2.5</v>
      </c>
      <c r="F61">
        <v>232589</v>
      </c>
      <c r="G61">
        <v>20.25</v>
      </c>
      <c r="H61">
        <f t="shared" si="4"/>
        <v>8.7063446680625474E-5</v>
      </c>
      <c r="I61">
        <f t="shared" si="8"/>
        <v>4.3522250347506364E-4</v>
      </c>
      <c r="J61">
        <f t="shared" si="9"/>
        <v>99545.810583346552</v>
      </c>
      <c r="K61">
        <f t="shared" si="5"/>
        <v>43.324576892538573</v>
      </c>
      <c r="L61">
        <f t="shared" si="10"/>
        <v>497620.74147450138</v>
      </c>
      <c r="M61">
        <f t="shared" si="11"/>
        <v>7551968.9542771196</v>
      </c>
      <c r="N61">
        <f t="shared" si="6"/>
        <v>75.864256968946933</v>
      </c>
      <c r="P61" t="str">
        <f t="shared" si="7"/>
        <v/>
      </c>
    </row>
    <row r="62" spans="1:16">
      <c r="A62">
        <v>2019</v>
      </c>
      <c r="B62" t="s">
        <v>16</v>
      </c>
      <c r="C62">
        <v>10</v>
      </c>
      <c r="D62">
        <v>5</v>
      </c>
      <c r="E62">
        <v>2.5</v>
      </c>
      <c r="F62">
        <v>232589</v>
      </c>
      <c r="G62">
        <v>24.75</v>
      </c>
      <c r="H62">
        <f t="shared" si="4"/>
        <v>1.0641087927632003E-4</v>
      </c>
      <c r="I62">
        <f t="shared" si="8"/>
        <v>5.3191289308497116E-4</v>
      </c>
      <c r="J62">
        <f t="shared" si="9"/>
        <v>99502.486006454012</v>
      </c>
      <c r="K62">
        <f t="shared" si="5"/>
        <v>52.926655200839811</v>
      </c>
      <c r="L62">
        <f t="shared" si="10"/>
        <v>497380.11339426792</v>
      </c>
      <c r="M62">
        <f t="shared" si="11"/>
        <v>7054348.2128026178</v>
      </c>
      <c r="N62">
        <f t="shared" si="6"/>
        <v>70.89620064713813</v>
      </c>
      <c r="P62" t="str">
        <f t="shared" si="7"/>
        <v/>
      </c>
    </row>
    <row r="63" spans="1:16">
      <c r="A63">
        <v>2019</v>
      </c>
      <c r="B63" t="s">
        <v>16</v>
      </c>
      <c r="C63">
        <v>15</v>
      </c>
      <c r="D63">
        <v>5</v>
      </c>
      <c r="E63">
        <v>2.5</v>
      </c>
      <c r="F63">
        <v>218052</v>
      </c>
      <c r="G63">
        <v>37.97</v>
      </c>
      <c r="H63">
        <f t="shared" si="4"/>
        <v>1.7413277566818923E-4</v>
      </c>
      <c r="I63">
        <f t="shared" si="8"/>
        <v>8.7028501547752718E-4</v>
      </c>
      <c r="J63">
        <f t="shared" si="9"/>
        <v>99449.559351253178</v>
      </c>
      <c r="K63">
        <f t="shared" si="5"/>
        <v>86.549461299238629</v>
      </c>
      <c r="L63">
        <f t="shared" si="10"/>
        <v>497031.42310301785</v>
      </c>
      <c r="M63">
        <f t="shared" si="11"/>
        <v>6556968.09940835</v>
      </c>
      <c r="N63">
        <f t="shared" si="6"/>
        <v>65.932600829826853</v>
      </c>
      <c r="P63" t="str">
        <f t="shared" si="7"/>
        <v/>
      </c>
    </row>
    <row r="64" spans="1:16">
      <c r="A64">
        <v>2019</v>
      </c>
      <c r="B64" t="s">
        <v>16</v>
      </c>
      <c r="C64">
        <v>20</v>
      </c>
      <c r="D64">
        <v>5</v>
      </c>
      <c r="E64">
        <v>2.5</v>
      </c>
      <c r="F64">
        <v>218052</v>
      </c>
      <c r="G64">
        <v>50.64</v>
      </c>
      <c r="H64">
        <f t="shared" si="4"/>
        <v>2.3223818171812227E-4</v>
      </c>
      <c r="I64">
        <f t="shared" si="8"/>
        <v>1.1605171176274852E-3</v>
      </c>
      <c r="J64">
        <f t="shared" si="9"/>
        <v>99363.009889953944</v>
      </c>
      <c r="K64">
        <f t="shared" si="5"/>
        <v>115.31247383628066</v>
      </c>
      <c r="L64">
        <f t="shared" si="10"/>
        <v>496526.76826517901</v>
      </c>
      <c r="M64">
        <f t="shared" si="11"/>
        <v>6059936.6763053322</v>
      </c>
      <c r="N64">
        <f t="shared" si="6"/>
        <v>60.987853357268513</v>
      </c>
      <c r="P64" t="str">
        <f t="shared" si="7"/>
        <v/>
      </c>
    </row>
    <row r="65" spans="1:16">
      <c r="A65">
        <v>2019</v>
      </c>
      <c r="B65" t="s">
        <v>16</v>
      </c>
      <c r="C65">
        <v>25</v>
      </c>
      <c r="D65">
        <v>5</v>
      </c>
      <c r="E65">
        <v>2.5</v>
      </c>
      <c r="F65">
        <v>203515</v>
      </c>
      <c r="G65">
        <v>63.03</v>
      </c>
      <c r="H65">
        <f t="shared" si="4"/>
        <v>3.0970690121121295E-4</v>
      </c>
      <c r="I65">
        <f t="shared" si="8"/>
        <v>1.5473364541102308E-3</v>
      </c>
      <c r="J65">
        <f t="shared" si="9"/>
        <v>99247.697416117662</v>
      </c>
      <c r="K65">
        <f t="shared" si="5"/>
        <v>153.56958019846061</v>
      </c>
      <c r="L65">
        <f t="shared" si="10"/>
        <v>495854.56313009217</v>
      </c>
      <c r="M65">
        <f t="shared" si="11"/>
        <v>5563409.9080401529</v>
      </c>
      <c r="N65">
        <f t="shared" si="6"/>
        <v>56.055808375224473</v>
      </c>
      <c r="P65" t="str">
        <f t="shared" si="7"/>
        <v/>
      </c>
    </row>
    <row r="66" spans="1:16">
      <c r="A66">
        <v>2019</v>
      </c>
      <c r="B66" t="s">
        <v>16</v>
      </c>
      <c r="C66">
        <v>30</v>
      </c>
      <c r="D66">
        <v>5</v>
      </c>
      <c r="E66">
        <v>2.5</v>
      </c>
      <c r="F66">
        <v>203515</v>
      </c>
      <c r="G66">
        <v>86.69</v>
      </c>
      <c r="H66">
        <f t="shared" si="4"/>
        <v>4.2596368818023238E-4</v>
      </c>
      <c r="I66">
        <f t="shared" ref="I66:I97" si="12">IF(C66=85,1,(D66*H66)/(1+(D66-IF(E66="",D66/2,E66))*H66))</f>
        <v>2.127552790317757E-3</v>
      </c>
      <c r="J66">
        <f t="shared" ref="J66:J97" si="13">IF(OR(ROW()=2,A66&lt;&gt;A65,B66&lt;&gt;B65),100000,J65-K65)</f>
        <v>99094.127835919207</v>
      </c>
      <c r="K66">
        <f t="shared" si="5"/>
        <v>210.82798818141441</v>
      </c>
      <c r="L66">
        <f t="shared" ref="L66:L97" si="14">IF(C66=85,J66/H66,D66*J66-(D66-E66)*K66)</f>
        <v>494943.56920914253</v>
      </c>
      <c r="M66">
        <f t="shared" ref="M66:M97" si="15">SUMIFS(L:L,A:A,A66,B:B,B66,C:C,"&gt;="&amp;C66)</f>
        <v>5067555.344910061</v>
      </c>
      <c r="N66">
        <f t="shared" si="6"/>
        <v>51.138805654568721</v>
      </c>
      <c r="P66" t="str">
        <f t="shared" si="7"/>
        <v/>
      </c>
    </row>
    <row r="67" spans="1:16">
      <c r="A67">
        <v>2019</v>
      </c>
      <c r="B67" t="s">
        <v>16</v>
      </c>
      <c r="C67">
        <v>35</v>
      </c>
      <c r="D67">
        <v>5</v>
      </c>
      <c r="E67">
        <v>2.5</v>
      </c>
      <c r="F67">
        <v>188978</v>
      </c>
      <c r="G67">
        <v>117.14</v>
      </c>
      <c r="H67">
        <f t="shared" ref="H67:H115" si="16">IFERROR(G67/F67,0)</f>
        <v>6.198605128639313E-4</v>
      </c>
      <c r="I67">
        <f t="shared" si="12"/>
        <v>3.0945071573356387E-3</v>
      </c>
      <c r="J67">
        <f t="shared" si="13"/>
        <v>98883.299847737799</v>
      </c>
      <c r="K67">
        <f t="shared" ref="K67:K115" si="17">J67*I67</f>
        <v>305.99507911979072</v>
      </c>
      <c r="L67">
        <f t="shared" si="14"/>
        <v>493651.51154088951</v>
      </c>
      <c r="M67">
        <f t="shared" si="15"/>
        <v>4572611.7757009175</v>
      </c>
      <c r="N67">
        <f t="shared" ref="N67:N115" si="18">M67/J67</f>
        <v>46.242507913286708</v>
      </c>
      <c r="P67" t="str">
        <f t="shared" ref="P67:P115" si="19">IF(C67=0, 85-N67, "")</f>
        <v/>
      </c>
    </row>
    <row r="68" spans="1:16">
      <c r="A68">
        <v>2019</v>
      </c>
      <c r="B68" t="s">
        <v>16</v>
      </c>
      <c r="C68">
        <v>40</v>
      </c>
      <c r="D68">
        <v>5</v>
      </c>
      <c r="E68">
        <v>2.5</v>
      </c>
      <c r="F68">
        <v>174441</v>
      </c>
      <c r="G68">
        <v>169.1</v>
      </c>
      <c r="H68">
        <f t="shared" si="16"/>
        <v>9.6938219799244446E-4</v>
      </c>
      <c r="I68">
        <f t="shared" si="12"/>
        <v>4.8351931146392553E-3</v>
      </c>
      <c r="J68">
        <f t="shared" si="13"/>
        <v>98577.304768618007</v>
      </c>
      <c r="K68">
        <f t="shared" si="17"/>
        <v>476.64030527691722</v>
      </c>
      <c r="L68">
        <f t="shared" si="14"/>
        <v>491694.92307989777</v>
      </c>
      <c r="M68">
        <f t="shared" si="15"/>
        <v>4078960.2641600282</v>
      </c>
      <c r="N68">
        <f t="shared" si="18"/>
        <v>41.3782895944885</v>
      </c>
      <c r="P68" t="str">
        <f t="shared" si="19"/>
        <v/>
      </c>
    </row>
    <row r="69" spans="1:16">
      <c r="A69">
        <v>2019</v>
      </c>
      <c r="B69" t="s">
        <v>16</v>
      </c>
      <c r="C69">
        <v>45</v>
      </c>
      <c r="D69">
        <v>5</v>
      </c>
      <c r="E69">
        <v>2.5</v>
      </c>
      <c r="F69">
        <v>159905</v>
      </c>
      <c r="G69">
        <v>263.95999999999998</v>
      </c>
      <c r="H69">
        <f t="shared" si="16"/>
        <v>1.6507301210093492E-3</v>
      </c>
      <c r="I69">
        <f t="shared" si="12"/>
        <v>8.2197292185278367E-3</v>
      </c>
      <c r="J69">
        <f t="shared" si="13"/>
        <v>98100.664463341091</v>
      </c>
      <c r="K69">
        <f t="shared" si="17"/>
        <v>806.36089804632013</v>
      </c>
      <c r="L69">
        <f t="shared" si="14"/>
        <v>488487.4200715897</v>
      </c>
      <c r="M69">
        <f t="shared" si="15"/>
        <v>3587265.3410801301</v>
      </c>
      <c r="N69">
        <f t="shared" si="18"/>
        <v>36.567186988021305</v>
      </c>
      <c r="P69" t="str">
        <f t="shared" si="19"/>
        <v/>
      </c>
    </row>
    <row r="70" spans="1:16">
      <c r="A70">
        <v>2019</v>
      </c>
      <c r="B70" t="s">
        <v>16</v>
      </c>
      <c r="C70">
        <v>50</v>
      </c>
      <c r="D70">
        <v>5</v>
      </c>
      <c r="E70">
        <v>2.5</v>
      </c>
      <c r="F70">
        <v>145368</v>
      </c>
      <c r="G70">
        <v>396.29</v>
      </c>
      <c r="H70">
        <f t="shared" si="16"/>
        <v>2.7261157888943924E-3</v>
      </c>
      <c r="I70">
        <f t="shared" si="12"/>
        <v>1.353831143309017E-2</v>
      </c>
      <c r="J70">
        <f t="shared" si="13"/>
        <v>97294.303565294773</v>
      </c>
      <c r="K70">
        <f t="shared" si="17"/>
        <v>1317.200582332576</v>
      </c>
      <c r="L70">
        <f t="shared" si="14"/>
        <v>483178.51637064241</v>
      </c>
      <c r="M70">
        <f t="shared" si="15"/>
        <v>3098777.9210085408</v>
      </c>
      <c r="N70">
        <f t="shared" si="18"/>
        <v>31.849530830229263</v>
      </c>
      <c r="P70" t="str">
        <f t="shared" si="19"/>
        <v/>
      </c>
    </row>
    <row r="71" spans="1:16">
      <c r="A71">
        <v>2019</v>
      </c>
      <c r="B71" t="s">
        <v>16</v>
      </c>
      <c r="C71">
        <v>55</v>
      </c>
      <c r="D71">
        <v>5</v>
      </c>
      <c r="E71">
        <v>2.5</v>
      </c>
      <c r="F71">
        <v>130831</v>
      </c>
      <c r="G71">
        <v>614.41</v>
      </c>
      <c r="H71">
        <f t="shared" si="16"/>
        <v>4.6962111426191036E-3</v>
      </c>
      <c r="I71">
        <f t="shared" si="12"/>
        <v>2.3208574794213285E-2</v>
      </c>
      <c r="J71">
        <f t="shared" si="13"/>
        <v>95977.102982962198</v>
      </c>
      <c r="K71">
        <f t="shared" si="17"/>
        <v>2227.491773111989</v>
      </c>
      <c r="L71">
        <f t="shared" si="14"/>
        <v>474316.78548203106</v>
      </c>
      <c r="M71">
        <f t="shared" si="15"/>
        <v>2615599.4046378983</v>
      </c>
      <c r="N71">
        <f t="shared" si="18"/>
        <v>27.252327100373286</v>
      </c>
      <c r="P71" t="str">
        <f t="shared" si="19"/>
        <v/>
      </c>
    </row>
    <row r="72" spans="1:16">
      <c r="A72">
        <v>2019</v>
      </c>
      <c r="B72" t="s">
        <v>16</v>
      </c>
      <c r="C72">
        <v>60</v>
      </c>
      <c r="D72">
        <v>5</v>
      </c>
      <c r="E72">
        <v>2.5</v>
      </c>
      <c r="F72">
        <v>116294</v>
      </c>
      <c r="G72">
        <v>917.42</v>
      </c>
      <c r="H72">
        <f t="shared" si="16"/>
        <v>7.8887990781983594E-3</v>
      </c>
      <c r="I72">
        <f t="shared" si="12"/>
        <v>3.8681126307103908E-2</v>
      </c>
      <c r="J72">
        <f t="shared" si="13"/>
        <v>93749.611209850205</v>
      </c>
      <c r="K72">
        <f t="shared" si="17"/>
        <v>3626.3405524501004</v>
      </c>
      <c r="L72">
        <f t="shared" si="14"/>
        <v>459682.20466812572</v>
      </c>
      <c r="M72">
        <f t="shared" si="15"/>
        <v>2141282.6191558675</v>
      </c>
      <c r="N72">
        <f t="shared" si="18"/>
        <v>22.840442659146564</v>
      </c>
      <c r="P72" t="str">
        <f t="shared" si="19"/>
        <v/>
      </c>
    </row>
    <row r="73" spans="1:16">
      <c r="A73">
        <v>2019</v>
      </c>
      <c r="B73" t="s">
        <v>16</v>
      </c>
      <c r="C73">
        <v>65</v>
      </c>
      <c r="D73">
        <v>5</v>
      </c>
      <c r="E73">
        <v>2.5</v>
      </c>
      <c r="F73">
        <v>101758</v>
      </c>
      <c r="G73">
        <v>1320.73</v>
      </c>
      <c r="H73">
        <f t="shared" si="16"/>
        <v>1.2979126948249769E-2</v>
      </c>
      <c r="I73">
        <f t="shared" si="12"/>
        <v>6.2856091755340349E-2</v>
      </c>
      <c r="J73">
        <f t="shared" si="13"/>
        <v>90123.270657400106</v>
      </c>
      <c r="K73">
        <f t="shared" si="17"/>
        <v>5664.7965697329137</v>
      </c>
      <c r="L73">
        <f t="shared" si="14"/>
        <v>436454.3618626683</v>
      </c>
      <c r="M73">
        <f t="shared" si="15"/>
        <v>1681600.4144877417</v>
      </c>
      <c r="N73">
        <f t="shared" si="18"/>
        <v>18.658892450544503</v>
      </c>
      <c r="P73" t="str">
        <f t="shared" si="19"/>
        <v/>
      </c>
    </row>
    <row r="74" spans="1:16">
      <c r="A74">
        <v>2019</v>
      </c>
      <c r="B74" t="s">
        <v>16</v>
      </c>
      <c r="C74">
        <v>70</v>
      </c>
      <c r="D74">
        <v>5</v>
      </c>
      <c r="E74">
        <v>2.5</v>
      </c>
      <c r="F74">
        <v>87221</v>
      </c>
      <c r="G74">
        <v>1865.97</v>
      </c>
      <c r="H74">
        <f t="shared" si="16"/>
        <v>2.1393586406943284E-2</v>
      </c>
      <c r="I74">
        <f t="shared" si="12"/>
        <v>0.10153731379425085</v>
      </c>
      <c r="J74">
        <f t="shared" si="13"/>
        <v>84458.474087667186</v>
      </c>
      <c r="K74">
        <f t="shared" si="17"/>
        <v>8575.6865860230664</v>
      </c>
      <c r="L74">
        <f t="shared" si="14"/>
        <v>400853.15397327824</v>
      </c>
      <c r="M74">
        <f t="shared" si="15"/>
        <v>1245146.0526250734</v>
      </c>
      <c r="N74">
        <f t="shared" si="18"/>
        <v>14.742701263257755</v>
      </c>
      <c r="P74" t="str">
        <f t="shared" si="19"/>
        <v/>
      </c>
    </row>
    <row r="75" spans="1:16">
      <c r="A75">
        <v>2019</v>
      </c>
      <c r="B75" t="s">
        <v>16</v>
      </c>
      <c r="C75">
        <v>75</v>
      </c>
      <c r="D75">
        <v>5</v>
      </c>
      <c r="E75">
        <v>2.5</v>
      </c>
      <c r="F75">
        <v>72684</v>
      </c>
      <c r="G75">
        <v>2603.7800000000002</v>
      </c>
      <c r="H75">
        <f t="shared" si="16"/>
        <v>3.5823289857465197E-2</v>
      </c>
      <c r="I75">
        <f t="shared" si="12"/>
        <v>0.16439364619169894</v>
      </c>
      <c r="J75">
        <f t="shared" si="13"/>
        <v>75882.787501644125</v>
      </c>
      <c r="K75">
        <f t="shared" si="17"/>
        <v>12474.648120585158</v>
      </c>
      <c r="L75">
        <f t="shared" si="14"/>
        <v>348227.31720675773</v>
      </c>
      <c r="M75">
        <f t="shared" si="15"/>
        <v>844292.898651795</v>
      </c>
      <c r="N75">
        <f t="shared" si="18"/>
        <v>11.126276807286528</v>
      </c>
      <c r="P75" t="str">
        <f t="shared" si="19"/>
        <v/>
      </c>
    </row>
    <row r="76" spans="1:16">
      <c r="A76">
        <v>2019</v>
      </c>
      <c r="B76" t="s">
        <v>16</v>
      </c>
      <c r="C76">
        <v>80</v>
      </c>
      <c r="D76">
        <v>5</v>
      </c>
      <c r="E76">
        <v>2.5</v>
      </c>
      <c r="F76">
        <v>58147</v>
      </c>
      <c r="G76">
        <v>3641.91</v>
      </c>
      <c r="H76">
        <f t="shared" si="16"/>
        <v>6.2632809947202772E-2</v>
      </c>
      <c r="I76">
        <f t="shared" si="12"/>
        <v>0.27076683106133626</v>
      </c>
      <c r="J76">
        <f t="shared" si="13"/>
        <v>63408.139381058965</v>
      </c>
      <c r="K76">
        <f t="shared" si="17"/>
        <v>17168.820963704857</v>
      </c>
      <c r="L76">
        <f t="shared" si="14"/>
        <v>274118.64449603268</v>
      </c>
      <c r="M76">
        <f t="shared" si="15"/>
        <v>496065.58144503739</v>
      </c>
      <c r="N76">
        <f t="shared" si="18"/>
        <v>7.8233738805024799</v>
      </c>
      <c r="P76" t="str">
        <f t="shared" si="19"/>
        <v/>
      </c>
    </row>
    <row r="77" spans="1:16">
      <c r="A77">
        <v>2019</v>
      </c>
      <c r="B77" t="s">
        <v>16</v>
      </c>
      <c r="C77">
        <v>85</v>
      </c>
      <c r="D77">
        <v>999</v>
      </c>
      <c r="F77">
        <v>43610</v>
      </c>
      <c r="G77">
        <v>9085.49</v>
      </c>
      <c r="H77">
        <f t="shared" si="16"/>
        <v>0.20833501490483833</v>
      </c>
      <c r="I77">
        <f t="shared" si="12"/>
        <v>1</v>
      </c>
      <c r="J77">
        <f t="shared" si="13"/>
        <v>46239.318417354109</v>
      </c>
      <c r="K77">
        <f t="shared" si="17"/>
        <v>46239.318417354109</v>
      </c>
      <c r="L77">
        <f t="shared" si="14"/>
        <v>221946.93694900471</v>
      </c>
      <c r="M77">
        <f t="shared" si="15"/>
        <v>221946.93694900471</v>
      </c>
      <c r="N77">
        <f t="shared" si="18"/>
        <v>4.7999612569052417</v>
      </c>
      <c r="P77" t="str">
        <f t="shared" si="19"/>
        <v/>
      </c>
    </row>
    <row r="78" spans="1:16">
      <c r="A78">
        <v>2021</v>
      </c>
      <c r="B78" t="s">
        <v>15</v>
      </c>
      <c r="C78">
        <v>0</v>
      </c>
      <c r="D78">
        <v>1</v>
      </c>
      <c r="E78">
        <v>0.1</v>
      </c>
      <c r="F78">
        <v>44867</v>
      </c>
      <c r="G78">
        <v>319.27999999999997</v>
      </c>
      <c r="H78">
        <f t="shared" si="16"/>
        <v>7.1161432678806241E-3</v>
      </c>
      <c r="I78">
        <f t="shared" si="12"/>
        <v>7.0708577547519665E-3</v>
      </c>
      <c r="J78">
        <f t="shared" si="13"/>
        <v>100000</v>
      </c>
      <c r="K78">
        <f t="shared" si="17"/>
        <v>707.08577547519667</v>
      </c>
      <c r="L78">
        <f t="shared" si="14"/>
        <v>99363.622802072321</v>
      </c>
      <c r="M78">
        <f t="shared" si="15"/>
        <v>6709999.6487524016</v>
      </c>
      <c r="N78">
        <f t="shared" si="18"/>
        <v>67.09999648752401</v>
      </c>
      <c r="P78">
        <f t="shared" si="19"/>
        <v>17.90000351247599</v>
      </c>
    </row>
    <row r="79" spans="1:16">
      <c r="A79">
        <v>2021</v>
      </c>
      <c r="B79" t="s">
        <v>15</v>
      </c>
      <c r="C79">
        <v>1</v>
      </c>
      <c r="D79">
        <v>4</v>
      </c>
      <c r="E79">
        <v>2</v>
      </c>
      <c r="F79">
        <v>179468</v>
      </c>
      <c r="G79">
        <v>84.72</v>
      </c>
      <c r="H79">
        <f t="shared" si="16"/>
        <v>4.7206187175429605E-4</v>
      </c>
      <c r="I79">
        <f t="shared" si="12"/>
        <v>1.8864664292699786E-3</v>
      </c>
      <c r="J79">
        <f t="shared" si="13"/>
        <v>99292.914224524808</v>
      </c>
      <c r="K79">
        <f t="shared" si="17"/>
        <v>187.31274934894958</v>
      </c>
      <c r="L79">
        <f t="shared" si="14"/>
        <v>396797.03139940131</v>
      </c>
      <c r="M79">
        <f t="shared" si="15"/>
        <v>6610636.0259503294</v>
      </c>
      <c r="N79">
        <f t="shared" si="18"/>
        <v>66.577117587687226</v>
      </c>
      <c r="P79" t="str">
        <f t="shared" si="19"/>
        <v/>
      </c>
    </row>
    <row r="80" spans="1:16">
      <c r="A80">
        <v>2021</v>
      </c>
      <c r="B80" t="s">
        <v>15</v>
      </c>
      <c r="C80">
        <v>5</v>
      </c>
      <c r="D80">
        <v>5</v>
      </c>
      <c r="E80">
        <v>2.5</v>
      </c>
      <c r="F80">
        <v>239290</v>
      </c>
      <c r="G80">
        <v>45.27</v>
      </c>
      <c r="H80">
        <f t="shared" si="16"/>
        <v>1.8918467131931967E-4</v>
      </c>
      <c r="I80">
        <f t="shared" si="12"/>
        <v>9.4547618259448738E-4</v>
      </c>
      <c r="J80">
        <f t="shared" si="13"/>
        <v>99105.601475175863</v>
      </c>
      <c r="K80">
        <f t="shared" si="17"/>
        <v>93.701985756479871</v>
      </c>
      <c r="L80">
        <f t="shared" si="14"/>
        <v>495293.75241148815</v>
      </c>
      <c r="M80">
        <f t="shared" si="15"/>
        <v>6213838.9945509275</v>
      </c>
      <c r="N80">
        <f t="shared" si="18"/>
        <v>62.699170400649656</v>
      </c>
      <c r="P80" t="str">
        <f t="shared" si="19"/>
        <v/>
      </c>
    </row>
    <row r="81" spans="1:16">
      <c r="A81">
        <v>2021</v>
      </c>
      <c r="B81" t="s">
        <v>15</v>
      </c>
      <c r="C81">
        <v>10</v>
      </c>
      <c r="D81">
        <v>5</v>
      </c>
      <c r="E81">
        <v>2.5</v>
      </c>
      <c r="F81">
        <v>239290</v>
      </c>
      <c r="G81">
        <v>60.68</v>
      </c>
      <c r="H81">
        <f t="shared" si="16"/>
        <v>2.5358351790714196E-4</v>
      </c>
      <c r="I81">
        <f t="shared" si="12"/>
        <v>1.2671142912867724E-3</v>
      </c>
      <c r="J81">
        <f t="shared" si="13"/>
        <v>99011.899489419389</v>
      </c>
      <c r="K81">
        <f t="shared" si="17"/>
        <v>125.45939285049279</v>
      </c>
      <c r="L81">
        <f t="shared" si="14"/>
        <v>494745.84896497073</v>
      </c>
      <c r="M81">
        <f t="shared" si="15"/>
        <v>5718545.2421394391</v>
      </c>
      <c r="N81">
        <f t="shared" si="18"/>
        <v>57.756141146959152</v>
      </c>
      <c r="P81" t="str">
        <f t="shared" si="19"/>
        <v/>
      </c>
    </row>
    <row r="82" spans="1:16">
      <c r="A82">
        <v>2021</v>
      </c>
      <c r="B82" t="s">
        <v>15</v>
      </c>
      <c r="C82">
        <v>15</v>
      </c>
      <c r="D82">
        <v>5</v>
      </c>
      <c r="E82">
        <v>2.5</v>
      </c>
      <c r="F82">
        <v>224334</v>
      </c>
      <c r="G82">
        <v>129.29</v>
      </c>
      <c r="H82">
        <f t="shared" si="16"/>
        <v>5.7632815355675019E-4</v>
      </c>
      <c r="I82">
        <f t="shared" si="12"/>
        <v>2.877494814600332E-3</v>
      </c>
      <c r="J82">
        <f t="shared" si="13"/>
        <v>98886.440096568898</v>
      </c>
      <c r="K82">
        <f t="shared" si="17"/>
        <v>284.54521861216335</v>
      </c>
      <c r="L82">
        <f t="shared" si="14"/>
        <v>493720.83743631409</v>
      </c>
      <c r="M82">
        <f t="shared" si="15"/>
        <v>5223799.3931744685</v>
      </c>
      <c r="N82">
        <f t="shared" si="18"/>
        <v>52.826245823725642</v>
      </c>
      <c r="P82" t="str">
        <f t="shared" si="19"/>
        <v/>
      </c>
    </row>
    <row r="83" spans="1:16">
      <c r="A83">
        <v>2021</v>
      </c>
      <c r="B83" t="s">
        <v>15</v>
      </c>
      <c r="C83">
        <v>20</v>
      </c>
      <c r="D83">
        <v>5</v>
      </c>
      <c r="E83">
        <v>2.5</v>
      </c>
      <c r="F83">
        <v>224334</v>
      </c>
      <c r="G83">
        <v>219.34</v>
      </c>
      <c r="H83">
        <f t="shared" si="16"/>
        <v>9.7773855055408466E-4</v>
      </c>
      <c r="I83">
        <f t="shared" si="12"/>
        <v>4.8767722322361007E-3</v>
      </c>
      <c r="J83">
        <f t="shared" si="13"/>
        <v>98601.894877956729</v>
      </c>
      <c r="K83">
        <f t="shared" si="17"/>
        <v>480.85898298668241</v>
      </c>
      <c r="L83">
        <f t="shared" si="14"/>
        <v>491807.32693231694</v>
      </c>
      <c r="M83">
        <f t="shared" si="15"/>
        <v>4730078.5557381548</v>
      </c>
      <c r="N83">
        <f t="shared" si="18"/>
        <v>47.971477237762528</v>
      </c>
      <c r="P83" t="str">
        <f t="shared" si="19"/>
        <v/>
      </c>
    </row>
    <row r="84" spans="1:16">
      <c r="A84">
        <v>2021</v>
      </c>
      <c r="B84" t="s">
        <v>15</v>
      </c>
      <c r="C84">
        <v>25</v>
      </c>
      <c r="D84">
        <v>5</v>
      </c>
      <c r="E84">
        <v>2.5</v>
      </c>
      <c r="F84">
        <v>209379</v>
      </c>
      <c r="G84">
        <v>281.20999999999998</v>
      </c>
      <c r="H84">
        <f t="shared" si="16"/>
        <v>1.3430668787223169E-3</v>
      </c>
      <c r="I84">
        <f t="shared" si="12"/>
        <v>6.6928619904534897E-3</v>
      </c>
      <c r="J84">
        <f t="shared" si="13"/>
        <v>98121.035894970046</v>
      </c>
      <c r="K84">
        <f t="shared" si="17"/>
        <v>656.71055160536753</v>
      </c>
      <c r="L84">
        <f t="shared" si="14"/>
        <v>488963.40309583681</v>
      </c>
      <c r="M84">
        <f t="shared" si="15"/>
        <v>4238271.2288058372</v>
      </c>
      <c r="N84">
        <f t="shared" si="18"/>
        <v>43.194318019048787</v>
      </c>
      <c r="P84" t="str">
        <f t="shared" si="19"/>
        <v/>
      </c>
    </row>
    <row r="85" spans="1:16">
      <c r="A85">
        <v>2021</v>
      </c>
      <c r="B85" t="s">
        <v>15</v>
      </c>
      <c r="C85">
        <v>30</v>
      </c>
      <c r="D85">
        <v>5</v>
      </c>
      <c r="E85">
        <v>2.5</v>
      </c>
      <c r="F85">
        <v>209379</v>
      </c>
      <c r="G85">
        <v>368.8</v>
      </c>
      <c r="H85">
        <f t="shared" si="16"/>
        <v>1.761399185209596E-3</v>
      </c>
      <c r="I85">
        <f t="shared" si="12"/>
        <v>8.7683843633648891E-3</v>
      </c>
      <c r="J85">
        <f t="shared" si="13"/>
        <v>97464.325343364675</v>
      </c>
      <c r="K85">
        <f t="shared" si="17"/>
        <v>854.60466632666714</v>
      </c>
      <c r="L85">
        <f t="shared" si="14"/>
        <v>485185.11505100672</v>
      </c>
      <c r="M85">
        <f t="shared" si="15"/>
        <v>3749307.8257099995</v>
      </c>
      <c r="N85">
        <f t="shared" si="18"/>
        <v>38.468514633444293</v>
      </c>
      <c r="P85" t="str">
        <f t="shared" si="19"/>
        <v/>
      </c>
    </row>
    <row r="86" spans="1:16">
      <c r="A86">
        <v>2021</v>
      </c>
      <c r="B86" t="s">
        <v>15</v>
      </c>
      <c r="C86">
        <v>35</v>
      </c>
      <c r="D86">
        <v>5</v>
      </c>
      <c r="E86">
        <v>2.5</v>
      </c>
      <c r="F86">
        <v>194423</v>
      </c>
      <c r="G86">
        <v>478.14</v>
      </c>
      <c r="H86">
        <f t="shared" si="16"/>
        <v>2.4592769373993819E-3</v>
      </c>
      <c r="I86">
        <f t="shared" si="12"/>
        <v>1.2221246115203406E-2</v>
      </c>
      <c r="J86">
        <f t="shared" si="13"/>
        <v>96609.720677038014</v>
      </c>
      <c r="K86">
        <f t="shared" si="17"/>
        <v>1180.6911735151371</v>
      </c>
      <c r="L86">
        <f t="shared" si="14"/>
        <v>480096.87545140221</v>
      </c>
      <c r="M86">
        <f t="shared" si="15"/>
        <v>3264122.7106589926</v>
      </c>
      <c r="N86">
        <f t="shared" si="18"/>
        <v>33.786690281103382</v>
      </c>
      <c r="P86" t="str">
        <f t="shared" si="19"/>
        <v/>
      </c>
    </row>
    <row r="87" spans="1:16">
      <c r="A87">
        <v>2021</v>
      </c>
      <c r="B87" t="s">
        <v>15</v>
      </c>
      <c r="C87">
        <v>40</v>
      </c>
      <c r="D87">
        <v>5</v>
      </c>
      <c r="E87">
        <v>2.5</v>
      </c>
      <c r="F87">
        <v>179468</v>
      </c>
      <c r="G87">
        <v>670.94</v>
      </c>
      <c r="H87">
        <f t="shared" si="16"/>
        <v>3.7384937704771884E-3</v>
      </c>
      <c r="I87">
        <f t="shared" si="12"/>
        <v>1.8519382363389403E-2</v>
      </c>
      <c r="J87">
        <f t="shared" si="13"/>
        <v>95429.029503522877</v>
      </c>
      <c r="K87">
        <f t="shared" si="17"/>
        <v>1767.2866859429087</v>
      </c>
      <c r="L87">
        <f t="shared" si="14"/>
        <v>472726.93080275715</v>
      </c>
      <c r="M87">
        <f t="shared" si="15"/>
        <v>2784025.8352075899</v>
      </c>
      <c r="N87">
        <f t="shared" si="18"/>
        <v>29.173783383229463</v>
      </c>
      <c r="P87" t="str">
        <f t="shared" si="19"/>
        <v/>
      </c>
    </row>
    <row r="88" spans="1:16">
      <c r="A88">
        <v>2021</v>
      </c>
      <c r="B88" t="s">
        <v>15</v>
      </c>
      <c r="C88">
        <v>45</v>
      </c>
      <c r="D88">
        <v>5</v>
      </c>
      <c r="E88">
        <v>2.5</v>
      </c>
      <c r="F88">
        <v>164512</v>
      </c>
      <c r="G88">
        <v>1063.03</v>
      </c>
      <c r="H88">
        <f t="shared" si="16"/>
        <v>6.4617170783894179E-3</v>
      </c>
      <c r="I88">
        <f t="shared" si="12"/>
        <v>3.1794960297051658E-2</v>
      </c>
      <c r="J88">
        <f t="shared" si="13"/>
        <v>93661.742817579972</v>
      </c>
      <c r="K88">
        <f t="shared" si="17"/>
        <v>2977.9713942376184</v>
      </c>
      <c r="L88">
        <f t="shared" si="14"/>
        <v>460863.78560230584</v>
      </c>
      <c r="M88">
        <f t="shared" si="15"/>
        <v>2311298.9044048339</v>
      </c>
      <c r="N88">
        <f t="shared" si="18"/>
        <v>24.677086234733306</v>
      </c>
      <c r="P88" t="str">
        <f t="shared" si="19"/>
        <v/>
      </c>
    </row>
    <row r="89" spans="1:16">
      <c r="A89">
        <v>2021</v>
      </c>
      <c r="B89" t="s">
        <v>15</v>
      </c>
      <c r="C89">
        <v>50</v>
      </c>
      <c r="D89">
        <v>5</v>
      </c>
      <c r="E89">
        <v>2.5</v>
      </c>
      <c r="F89">
        <v>149556</v>
      </c>
      <c r="G89">
        <v>1680.81</v>
      </c>
      <c r="H89">
        <f t="shared" si="16"/>
        <v>1.1238666452699992E-2</v>
      </c>
      <c r="I89">
        <f t="shared" si="12"/>
        <v>5.465763494295664E-2</v>
      </c>
      <c r="J89">
        <f t="shared" si="13"/>
        <v>90683.771423342347</v>
      </c>
      <c r="K89">
        <f t="shared" si="17"/>
        <v>4956.5604737075691</v>
      </c>
      <c r="L89">
        <f t="shared" si="14"/>
        <v>441027.4559324428</v>
      </c>
      <c r="M89">
        <f t="shared" si="15"/>
        <v>1850435.1188025281</v>
      </c>
      <c r="N89">
        <f t="shared" si="18"/>
        <v>20.405361287457648</v>
      </c>
      <c r="P89" t="str">
        <f t="shared" si="19"/>
        <v/>
      </c>
    </row>
    <row r="90" spans="1:16">
      <c r="A90">
        <v>2021</v>
      </c>
      <c r="B90" t="s">
        <v>15</v>
      </c>
      <c r="C90">
        <v>55</v>
      </c>
      <c r="D90">
        <v>5</v>
      </c>
      <c r="E90">
        <v>2.5</v>
      </c>
      <c r="F90">
        <v>134601</v>
      </c>
      <c r="G90">
        <v>2630.66</v>
      </c>
      <c r="H90">
        <f t="shared" si="16"/>
        <v>1.9544134144620025E-2</v>
      </c>
      <c r="I90">
        <f t="shared" si="12"/>
        <v>9.3168429988741142E-2</v>
      </c>
      <c r="J90">
        <f t="shared" si="13"/>
        <v>85727.210949634784</v>
      </c>
      <c r="K90">
        <f t="shared" si="17"/>
        <v>7987.0696514910915</v>
      </c>
      <c r="L90">
        <f t="shared" si="14"/>
        <v>408668.38061944616</v>
      </c>
      <c r="M90">
        <f t="shared" si="15"/>
        <v>1409407.6628700853</v>
      </c>
      <c r="N90">
        <f t="shared" si="18"/>
        <v>16.440610247989056</v>
      </c>
      <c r="P90" t="str">
        <f t="shared" si="19"/>
        <v/>
      </c>
    </row>
    <row r="91" spans="1:16">
      <c r="A91">
        <v>2021</v>
      </c>
      <c r="B91" t="s">
        <v>15</v>
      </c>
      <c r="C91">
        <v>60</v>
      </c>
      <c r="D91">
        <v>5</v>
      </c>
      <c r="E91">
        <v>2.5</v>
      </c>
      <c r="F91">
        <v>119645</v>
      </c>
      <c r="G91">
        <v>3974.67</v>
      </c>
      <c r="H91">
        <f t="shared" si="16"/>
        <v>3.3220527393539222E-2</v>
      </c>
      <c r="I91">
        <f t="shared" si="12"/>
        <v>0.15336543535187366</v>
      </c>
      <c r="J91">
        <f t="shared" si="13"/>
        <v>77740.141298143688</v>
      </c>
      <c r="K91">
        <f t="shared" si="17"/>
        <v>11922.650614505979</v>
      </c>
      <c r="L91">
        <f t="shared" si="14"/>
        <v>358894.07995445345</v>
      </c>
      <c r="M91">
        <f t="shared" si="15"/>
        <v>1000739.2822506391</v>
      </c>
      <c r="N91">
        <f t="shared" si="18"/>
        <v>12.872877068909252</v>
      </c>
      <c r="P91" t="str">
        <f t="shared" si="19"/>
        <v/>
      </c>
    </row>
    <row r="92" spans="1:16">
      <c r="A92">
        <v>2021</v>
      </c>
      <c r="B92" t="s">
        <v>15</v>
      </c>
      <c r="C92">
        <v>65</v>
      </c>
      <c r="D92">
        <v>5</v>
      </c>
      <c r="E92">
        <v>2.5</v>
      </c>
      <c r="F92">
        <v>104689</v>
      </c>
      <c r="G92">
        <v>5814.97</v>
      </c>
      <c r="H92">
        <f t="shared" si="16"/>
        <v>5.5545186218227321E-2</v>
      </c>
      <c r="I92">
        <f t="shared" si="12"/>
        <v>0.24386246589210403</v>
      </c>
      <c r="J92">
        <f t="shared" si="13"/>
        <v>65817.490683637705</v>
      </c>
      <c r="K92">
        <f t="shared" si="17"/>
        <v>16050.415576942474</v>
      </c>
      <c r="L92">
        <f t="shared" si="14"/>
        <v>288961.41447583231</v>
      </c>
      <c r="M92">
        <f t="shared" si="15"/>
        <v>641845.20229618554</v>
      </c>
      <c r="N92">
        <f t="shared" si="18"/>
        <v>9.751894148947688</v>
      </c>
      <c r="P92" t="str">
        <f t="shared" si="19"/>
        <v/>
      </c>
    </row>
    <row r="93" spans="1:16">
      <c r="A93">
        <v>2021</v>
      </c>
      <c r="B93" t="s">
        <v>15</v>
      </c>
      <c r="C93">
        <v>70</v>
      </c>
      <c r="D93">
        <v>5</v>
      </c>
      <c r="E93">
        <v>2.5</v>
      </c>
      <c r="F93">
        <v>89734</v>
      </c>
      <c r="G93">
        <v>8396.31</v>
      </c>
      <c r="H93">
        <f t="shared" si="16"/>
        <v>9.3568881360465372E-2</v>
      </c>
      <c r="I93">
        <f t="shared" si="12"/>
        <v>0.37915227192830148</v>
      </c>
      <c r="J93">
        <f t="shared" si="13"/>
        <v>49767.075106695229</v>
      </c>
      <c r="K93">
        <f t="shared" si="17"/>
        <v>18869.299593929914</v>
      </c>
      <c r="L93">
        <f t="shared" si="14"/>
        <v>201662.12654865137</v>
      </c>
      <c r="M93">
        <f t="shared" si="15"/>
        <v>352883.78782035335</v>
      </c>
      <c r="N93">
        <f t="shared" si="18"/>
        <v>7.0907078035791464</v>
      </c>
      <c r="P93" t="str">
        <f t="shared" si="19"/>
        <v/>
      </c>
    </row>
    <row r="94" spans="1:16">
      <c r="A94">
        <v>2021</v>
      </c>
      <c r="B94" t="s">
        <v>15</v>
      </c>
      <c r="C94">
        <v>75</v>
      </c>
      <c r="D94">
        <v>5</v>
      </c>
      <c r="E94">
        <v>2.5</v>
      </c>
      <c r="F94">
        <v>74778</v>
      </c>
      <c r="G94">
        <v>12476.98</v>
      </c>
      <c r="H94">
        <f t="shared" si="16"/>
        <v>0.1668536200486774</v>
      </c>
      <c r="I94">
        <f t="shared" si="12"/>
        <v>0.58870090671503228</v>
      </c>
      <c r="J94">
        <f t="shared" si="13"/>
        <v>30897.775512765314</v>
      </c>
      <c r="K94">
        <f t="shared" si="17"/>
        <v>18189.548459842463</v>
      </c>
      <c r="L94">
        <f t="shared" si="14"/>
        <v>109015.00641422041</v>
      </c>
      <c r="M94">
        <f t="shared" si="15"/>
        <v>151221.66127170192</v>
      </c>
      <c r="N94">
        <f t="shared" si="18"/>
        <v>4.8942572325061127</v>
      </c>
      <c r="P94" t="str">
        <f t="shared" si="19"/>
        <v/>
      </c>
    </row>
    <row r="95" spans="1:16">
      <c r="A95">
        <v>2021</v>
      </c>
      <c r="B95" t="s">
        <v>15</v>
      </c>
      <c r="C95">
        <v>80</v>
      </c>
      <c r="D95">
        <v>5</v>
      </c>
      <c r="E95">
        <v>2.5</v>
      </c>
      <c r="F95">
        <v>59823</v>
      </c>
      <c r="G95">
        <v>19089.82</v>
      </c>
      <c r="H95">
        <f t="shared" si="16"/>
        <v>0.31910502649482642</v>
      </c>
      <c r="I95">
        <f t="shared" si="12"/>
        <v>0.88750603802690065</v>
      </c>
      <c r="J95">
        <f t="shared" si="13"/>
        <v>12708.227052922852</v>
      </c>
      <c r="K95">
        <f t="shared" si="17"/>
        <v>11278.628242085835</v>
      </c>
      <c r="L95">
        <f t="shared" si="14"/>
        <v>35344.564659399679</v>
      </c>
      <c r="M95">
        <f t="shared" si="15"/>
        <v>42206.654857481517</v>
      </c>
      <c r="N95">
        <f t="shared" si="18"/>
        <v>3.3212071740388147</v>
      </c>
      <c r="P95" t="str">
        <f t="shared" si="19"/>
        <v/>
      </c>
    </row>
    <row r="96" spans="1:16">
      <c r="A96">
        <v>2021</v>
      </c>
      <c r="B96" t="s">
        <v>15</v>
      </c>
      <c r="C96">
        <v>85</v>
      </c>
      <c r="D96">
        <v>999</v>
      </c>
      <c r="F96">
        <v>44867</v>
      </c>
      <c r="G96">
        <v>9347.27</v>
      </c>
      <c r="H96">
        <f t="shared" si="16"/>
        <v>0.20833285042458824</v>
      </c>
      <c r="I96">
        <f t="shared" si="12"/>
        <v>1</v>
      </c>
      <c r="J96">
        <f t="shared" si="13"/>
        <v>1429.5988108370166</v>
      </c>
      <c r="K96">
        <f t="shared" si="17"/>
        <v>1429.5988108370166</v>
      </c>
      <c r="L96">
        <f t="shared" si="14"/>
        <v>6862.090198081838</v>
      </c>
      <c r="M96">
        <f t="shared" si="15"/>
        <v>6862.090198081838</v>
      </c>
      <c r="N96">
        <f t="shared" si="18"/>
        <v>4.8000111262432776</v>
      </c>
      <c r="P96" t="str">
        <f t="shared" si="19"/>
        <v/>
      </c>
    </row>
    <row r="97" spans="1:16">
      <c r="A97">
        <v>2021</v>
      </c>
      <c r="B97" t="s">
        <v>16</v>
      </c>
      <c r="C97">
        <v>0</v>
      </c>
      <c r="D97">
        <v>1</v>
      </c>
      <c r="E97">
        <v>0.1</v>
      </c>
      <c r="F97">
        <v>45047</v>
      </c>
      <c r="G97">
        <v>169.52</v>
      </c>
      <c r="H97">
        <f t="shared" si="16"/>
        <v>3.7631806779585769E-3</v>
      </c>
      <c r="I97">
        <f t="shared" si="12"/>
        <v>3.7504783231556552E-3</v>
      </c>
      <c r="J97">
        <f t="shared" si="13"/>
        <v>100000</v>
      </c>
      <c r="K97">
        <f t="shared" si="17"/>
        <v>375.04783231556553</v>
      </c>
      <c r="L97">
        <f t="shared" si="14"/>
        <v>99662.456950915992</v>
      </c>
      <c r="M97">
        <f t="shared" si="15"/>
        <v>7559998.5632873466</v>
      </c>
      <c r="N97">
        <f t="shared" si="18"/>
        <v>75.599985632873469</v>
      </c>
      <c r="P97">
        <f t="shared" si="19"/>
        <v>9.4000143671265306</v>
      </c>
    </row>
    <row r="98" spans="1:16">
      <c r="A98">
        <v>2021</v>
      </c>
      <c r="B98" t="s">
        <v>16</v>
      </c>
      <c r="C98">
        <v>1</v>
      </c>
      <c r="D98">
        <v>4</v>
      </c>
      <c r="E98">
        <v>2</v>
      </c>
      <c r="F98">
        <v>180187</v>
      </c>
      <c r="G98">
        <v>40.049999999999997</v>
      </c>
      <c r="H98">
        <f t="shared" si="16"/>
        <v>2.2226908711505268E-4</v>
      </c>
      <c r="I98">
        <f t="shared" ref="I98:I115" si="20">IF(C98=85,1,(D98*H98)/(1+(D98-IF(E98="",D98/2,E98))*H98))</f>
        <v>8.8868129569954796E-4</v>
      </c>
      <c r="J98">
        <f t="shared" ref="J98:J115" si="21">IF(OR(ROW()=2,A98&lt;&gt;A97,B98&lt;&gt;B97),100000,J97-K97)</f>
        <v>99624.952167684431</v>
      </c>
      <c r="K98">
        <f t="shared" si="17"/>
        <v>88.534831576383283</v>
      </c>
      <c r="L98">
        <f t="shared" ref="L98:L115" si="22">IF(C98=85,J98/H98,D98*J98-(D98-E98)*K98)</f>
        <v>398322.73900758498</v>
      </c>
      <c r="M98">
        <f t="shared" ref="M98:M115" si="23">SUMIFS(L:L,A:A,A98,B:B,B98,C:C,"&gt;="&amp;C98)</f>
        <v>7460336.1063364306</v>
      </c>
      <c r="N98">
        <f t="shared" si="18"/>
        <v>74.88421267976635</v>
      </c>
      <c r="P98" t="str">
        <f t="shared" si="19"/>
        <v/>
      </c>
    </row>
    <row r="99" spans="1:16">
      <c r="A99">
        <v>2021</v>
      </c>
      <c r="B99" t="s">
        <v>16</v>
      </c>
      <c r="C99">
        <v>5</v>
      </c>
      <c r="D99">
        <v>5</v>
      </c>
      <c r="E99">
        <v>2.5</v>
      </c>
      <c r="F99">
        <v>240249</v>
      </c>
      <c r="G99">
        <v>21.4</v>
      </c>
      <c r="H99">
        <f t="shared" si="16"/>
        <v>8.90742521300817E-5</v>
      </c>
      <c r="I99">
        <f t="shared" si="20"/>
        <v>4.452721049510513E-4</v>
      </c>
      <c r="J99">
        <f t="shared" si="21"/>
        <v>99536.417336108047</v>
      </c>
      <c r="K99">
        <f t="shared" si="17"/>
        <v>44.320790066535146</v>
      </c>
      <c r="L99">
        <f t="shared" si="22"/>
        <v>497571.28470537387</v>
      </c>
      <c r="M99">
        <f t="shared" si="23"/>
        <v>7062013.3673288459</v>
      </c>
      <c r="N99">
        <f t="shared" si="18"/>
        <v>70.949041128156168</v>
      </c>
      <c r="P99" t="str">
        <f t="shared" si="19"/>
        <v/>
      </c>
    </row>
    <row r="100" spans="1:16">
      <c r="A100">
        <v>2021</v>
      </c>
      <c r="B100" t="s">
        <v>16</v>
      </c>
      <c r="C100">
        <v>10</v>
      </c>
      <c r="D100">
        <v>5</v>
      </c>
      <c r="E100">
        <v>2.5</v>
      </c>
      <c r="F100">
        <v>240249</v>
      </c>
      <c r="G100">
        <v>26.3</v>
      </c>
      <c r="H100">
        <f t="shared" si="16"/>
        <v>1.0946975845893219E-4</v>
      </c>
      <c r="I100">
        <f t="shared" si="20"/>
        <v>5.4719903792838358E-4</v>
      </c>
      <c r="J100">
        <f t="shared" si="21"/>
        <v>99492.096546041517</v>
      </c>
      <c r="K100">
        <f t="shared" si="17"/>
        <v>54.441979511471772</v>
      </c>
      <c r="L100">
        <f t="shared" si="22"/>
        <v>497324.37778142892</v>
      </c>
      <c r="M100">
        <f t="shared" si="23"/>
        <v>6564442.0826234724</v>
      </c>
      <c r="N100">
        <f t="shared" si="18"/>
        <v>65.979533154029724</v>
      </c>
      <c r="P100" t="str">
        <f t="shared" si="19"/>
        <v/>
      </c>
    </row>
    <row r="101" spans="1:16">
      <c r="A101">
        <v>2021</v>
      </c>
      <c r="B101" t="s">
        <v>16</v>
      </c>
      <c r="C101">
        <v>15</v>
      </c>
      <c r="D101">
        <v>5</v>
      </c>
      <c r="E101">
        <v>2.5</v>
      </c>
      <c r="F101">
        <v>225234</v>
      </c>
      <c r="G101">
        <v>40.729999999999997</v>
      </c>
      <c r="H101">
        <f t="shared" si="16"/>
        <v>1.8083415470133282E-4</v>
      </c>
      <c r="I101">
        <f t="shared" si="20"/>
        <v>9.0376219582483162E-4</v>
      </c>
      <c r="J101">
        <f t="shared" si="21"/>
        <v>99437.654566530051</v>
      </c>
      <c r="K101">
        <f t="shared" si="17"/>
        <v>89.867993038718296</v>
      </c>
      <c r="L101">
        <f t="shared" si="22"/>
        <v>496963.6028500534</v>
      </c>
      <c r="M101">
        <f t="shared" si="23"/>
        <v>6067117.7048420431</v>
      </c>
      <c r="N101">
        <f t="shared" si="18"/>
        <v>61.014288111378967</v>
      </c>
      <c r="P101" t="str">
        <f t="shared" si="19"/>
        <v/>
      </c>
    </row>
    <row r="102" spans="1:16">
      <c r="A102">
        <v>2021</v>
      </c>
      <c r="B102" t="s">
        <v>16</v>
      </c>
      <c r="C102">
        <v>20</v>
      </c>
      <c r="D102">
        <v>5</v>
      </c>
      <c r="E102">
        <v>2.5</v>
      </c>
      <c r="F102">
        <v>225234</v>
      </c>
      <c r="G102">
        <v>55.23</v>
      </c>
      <c r="H102">
        <f t="shared" si="16"/>
        <v>2.4521164655425025E-4</v>
      </c>
      <c r="I102">
        <f t="shared" si="20"/>
        <v>1.225307083852336E-3</v>
      </c>
      <c r="J102">
        <f t="shared" si="21"/>
        <v>99347.786573491336</v>
      </c>
      <c r="K102">
        <f t="shared" si="17"/>
        <v>121.73154665354893</v>
      </c>
      <c r="L102">
        <f t="shared" si="22"/>
        <v>496434.60400082282</v>
      </c>
      <c r="M102">
        <f t="shared" si="23"/>
        <v>5570154.1019919896</v>
      </c>
      <c r="N102">
        <f t="shared" si="18"/>
        <v>56.067218949780376</v>
      </c>
      <c r="P102" t="str">
        <f t="shared" si="19"/>
        <v/>
      </c>
    </row>
    <row r="103" spans="1:16">
      <c r="A103">
        <v>2021</v>
      </c>
      <c r="B103" t="s">
        <v>16</v>
      </c>
      <c r="C103">
        <v>25</v>
      </c>
      <c r="D103">
        <v>5</v>
      </c>
      <c r="E103">
        <v>2.5</v>
      </c>
      <c r="F103">
        <v>210218</v>
      </c>
      <c r="G103">
        <v>70.760000000000005</v>
      </c>
      <c r="H103">
        <f t="shared" si="16"/>
        <v>3.36602955027638E-4</v>
      </c>
      <c r="I103">
        <f t="shared" si="20"/>
        <v>1.6815996965705918E-3</v>
      </c>
      <c r="J103">
        <f t="shared" si="21"/>
        <v>99226.055026837785</v>
      </c>
      <c r="K103">
        <f t="shared" si="17"/>
        <v>166.85850402502726</v>
      </c>
      <c r="L103">
        <f t="shared" si="22"/>
        <v>495713.12887412636</v>
      </c>
      <c r="M103">
        <f t="shared" si="23"/>
        <v>5073719.497991167</v>
      </c>
      <c r="N103">
        <f t="shared" si="18"/>
        <v>51.132935765902133</v>
      </c>
      <c r="P103" t="str">
        <f t="shared" si="19"/>
        <v/>
      </c>
    </row>
    <row r="104" spans="1:16">
      <c r="A104">
        <v>2021</v>
      </c>
      <c r="B104" t="s">
        <v>16</v>
      </c>
      <c r="C104">
        <v>30</v>
      </c>
      <c r="D104">
        <v>5</v>
      </c>
      <c r="E104">
        <v>2.5</v>
      </c>
      <c r="F104">
        <v>210218</v>
      </c>
      <c r="G104">
        <v>102.01</v>
      </c>
      <c r="H104">
        <f t="shared" si="16"/>
        <v>4.8525816057616382E-4</v>
      </c>
      <c r="I104">
        <f t="shared" si="20"/>
        <v>2.4233509258490492E-3</v>
      </c>
      <c r="J104">
        <f t="shared" si="21"/>
        <v>99059.196522812752</v>
      </c>
      <c r="K104">
        <f t="shared" si="17"/>
        <v>240.05519560742121</v>
      </c>
      <c r="L104">
        <f t="shared" si="22"/>
        <v>494695.8446250452</v>
      </c>
      <c r="M104">
        <f t="shared" si="23"/>
        <v>4578006.3691170402</v>
      </c>
      <c r="N104">
        <f t="shared" si="18"/>
        <v>46.214854650701234</v>
      </c>
      <c r="P104" t="str">
        <f t="shared" si="19"/>
        <v/>
      </c>
    </row>
    <row r="105" spans="1:16">
      <c r="A105">
        <v>2021</v>
      </c>
      <c r="B105" t="s">
        <v>16</v>
      </c>
      <c r="C105">
        <v>35</v>
      </c>
      <c r="D105">
        <v>5</v>
      </c>
      <c r="E105">
        <v>2.5</v>
      </c>
      <c r="F105">
        <v>195202</v>
      </c>
      <c r="G105">
        <v>147.82</v>
      </c>
      <c r="H105">
        <f t="shared" si="16"/>
        <v>7.5726683128246629E-4</v>
      </c>
      <c r="I105">
        <f t="shared" si="20"/>
        <v>3.7791795381281173E-3</v>
      </c>
      <c r="J105">
        <f t="shared" si="21"/>
        <v>98819.141327205332</v>
      </c>
      <c r="K105">
        <f t="shared" si="17"/>
        <v>373.45527687916501</v>
      </c>
      <c r="L105">
        <f t="shared" si="22"/>
        <v>493162.06844382879</v>
      </c>
      <c r="M105">
        <f t="shared" si="23"/>
        <v>4083310.5244919942</v>
      </c>
      <c r="N105">
        <f t="shared" si="18"/>
        <v>41.321048428983275</v>
      </c>
      <c r="P105" t="str">
        <f t="shared" si="19"/>
        <v/>
      </c>
    </row>
    <row r="106" spans="1:16">
      <c r="A106">
        <v>2021</v>
      </c>
      <c r="B106" t="s">
        <v>16</v>
      </c>
      <c r="C106">
        <v>40</v>
      </c>
      <c r="D106">
        <v>5</v>
      </c>
      <c r="E106">
        <v>2.5</v>
      </c>
      <c r="F106">
        <v>180187</v>
      </c>
      <c r="G106">
        <v>233.64</v>
      </c>
      <c r="H106">
        <f t="shared" si="16"/>
        <v>1.296652921686914E-3</v>
      </c>
      <c r="I106">
        <f t="shared" si="20"/>
        <v>6.4623161556244327E-3</v>
      </c>
      <c r="J106">
        <f t="shared" si="21"/>
        <v>98445.686050326171</v>
      </c>
      <c r="K106">
        <f t="shared" si="17"/>
        <v>636.18714741455369</v>
      </c>
      <c r="L106">
        <f t="shared" si="22"/>
        <v>490637.96238309448</v>
      </c>
      <c r="M106">
        <f t="shared" si="23"/>
        <v>3590148.4560481654</v>
      </c>
      <c r="N106">
        <f t="shared" si="18"/>
        <v>36.468316694068797</v>
      </c>
      <c r="P106" t="str">
        <f t="shared" si="19"/>
        <v/>
      </c>
    </row>
    <row r="107" spans="1:16">
      <c r="A107">
        <v>2021</v>
      </c>
      <c r="B107" t="s">
        <v>16</v>
      </c>
      <c r="C107">
        <v>45</v>
      </c>
      <c r="D107">
        <v>5</v>
      </c>
      <c r="E107">
        <v>2.5</v>
      </c>
      <c r="F107">
        <v>165171</v>
      </c>
      <c r="G107">
        <v>402.99</v>
      </c>
      <c r="H107">
        <f t="shared" si="16"/>
        <v>2.4398350800079916E-3</v>
      </c>
      <c r="I107">
        <f t="shared" si="20"/>
        <v>1.2125216578139857E-2</v>
      </c>
      <c r="J107">
        <f t="shared" si="21"/>
        <v>97809.498902911611</v>
      </c>
      <c r="K107">
        <f t="shared" si="17"/>
        <v>1185.9613575971359</v>
      </c>
      <c r="L107">
        <f t="shared" si="22"/>
        <v>486082.59112056519</v>
      </c>
      <c r="M107">
        <f t="shared" si="23"/>
        <v>3099510.4936650712</v>
      </c>
      <c r="N107">
        <f t="shared" si="18"/>
        <v>31.689258491567678</v>
      </c>
      <c r="P107" t="str">
        <f t="shared" si="19"/>
        <v/>
      </c>
    </row>
    <row r="108" spans="1:16">
      <c r="A108">
        <v>2021</v>
      </c>
      <c r="B108" t="s">
        <v>16</v>
      </c>
      <c r="C108">
        <v>50</v>
      </c>
      <c r="D108">
        <v>5</v>
      </c>
      <c r="E108">
        <v>2.5</v>
      </c>
      <c r="F108">
        <v>150156</v>
      </c>
      <c r="G108">
        <v>663.33</v>
      </c>
      <c r="H108">
        <f t="shared" si="16"/>
        <v>4.4176056900823149E-3</v>
      </c>
      <c r="I108">
        <f t="shared" si="20"/>
        <v>2.1846752603879777E-2</v>
      </c>
      <c r="J108">
        <f t="shared" si="21"/>
        <v>96623.537545314481</v>
      </c>
      <c r="K108">
        <f t="shared" si="17"/>
        <v>2110.9105204641746</v>
      </c>
      <c r="L108">
        <f t="shared" si="22"/>
        <v>477840.41142541193</v>
      </c>
      <c r="M108">
        <f t="shared" si="23"/>
        <v>2613427.9025445064</v>
      </c>
      <c r="N108">
        <f t="shared" si="18"/>
        <v>27.047528676114364</v>
      </c>
      <c r="P108" t="str">
        <f t="shared" si="19"/>
        <v/>
      </c>
    </row>
    <row r="109" spans="1:16">
      <c r="A109">
        <v>2021</v>
      </c>
      <c r="B109" t="s">
        <v>16</v>
      </c>
      <c r="C109">
        <v>55</v>
      </c>
      <c r="D109">
        <v>5</v>
      </c>
      <c r="E109">
        <v>2.5</v>
      </c>
      <c r="F109">
        <v>135140</v>
      </c>
      <c r="G109">
        <v>1106.79</v>
      </c>
      <c r="H109">
        <f t="shared" si="16"/>
        <v>8.1899511617581772E-3</v>
      </c>
      <c r="I109">
        <f t="shared" si="20"/>
        <v>4.0128137101114722E-2</v>
      </c>
      <c r="J109">
        <f t="shared" si="21"/>
        <v>94512.627024850313</v>
      </c>
      <c r="K109">
        <f t="shared" si="17"/>
        <v>3792.6156550397136</v>
      </c>
      <c r="L109">
        <f t="shared" si="22"/>
        <v>463081.5959866523</v>
      </c>
      <c r="M109">
        <f t="shared" si="23"/>
        <v>2135587.4911190947</v>
      </c>
      <c r="N109">
        <f t="shared" si="18"/>
        <v>22.595790195923581</v>
      </c>
      <c r="P109" t="str">
        <f t="shared" si="19"/>
        <v/>
      </c>
    </row>
    <row r="110" spans="1:16">
      <c r="A110">
        <v>2021</v>
      </c>
      <c r="B110" t="s">
        <v>16</v>
      </c>
      <c r="C110">
        <v>60</v>
      </c>
      <c r="D110">
        <v>5</v>
      </c>
      <c r="E110">
        <v>2.5</v>
      </c>
      <c r="F110">
        <v>120125</v>
      </c>
      <c r="G110">
        <v>1744.24</v>
      </c>
      <c r="H110">
        <f t="shared" si="16"/>
        <v>1.4520208116545266E-2</v>
      </c>
      <c r="I110">
        <f t="shared" si="20"/>
        <v>7.0057902279460446E-2</v>
      </c>
      <c r="J110">
        <f t="shared" si="21"/>
        <v>90720.0113698106</v>
      </c>
      <c r="K110">
        <f t="shared" si="17"/>
        <v>6355.6536913377313</v>
      </c>
      <c r="L110">
        <f t="shared" si="22"/>
        <v>437710.9226207087</v>
      </c>
      <c r="M110">
        <f t="shared" si="23"/>
        <v>1672505.8951324422</v>
      </c>
      <c r="N110">
        <f t="shared" si="18"/>
        <v>18.435909231918497</v>
      </c>
      <c r="P110" t="str">
        <f t="shared" si="19"/>
        <v/>
      </c>
    </row>
    <row r="111" spans="1:16">
      <c r="A111">
        <v>2021</v>
      </c>
      <c r="B111" t="s">
        <v>16</v>
      </c>
      <c r="C111">
        <v>65</v>
      </c>
      <c r="D111">
        <v>5</v>
      </c>
      <c r="E111">
        <v>2.5</v>
      </c>
      <c r="F111">
        <v>105109</v>
      </c>
      <c r="G111">
        <v>2615.48</v>
      </c>
      <c r="H111">
        <f t="shared" si="16"/>
        <v>2.4883501888515732E-2</v>
      </c>
      <c r="I111">
        <f t="shared" si="20"/>
        <v>0.11713093955361374</v>
      </c>
      <c r="J111">
        <f t="shared" si="21"/>
        <v>84364.357678472865</v>
      </c>
      <c r="K111">
        <f t="shared" si="17"/>
        <v>9881.6764797166543</v>
      </c>
      <c r="L111">
        <f t="shared" si="22"/>
        <v>397117.59719307272</v>
      </c>
      <c r="M111">
        <f t="shared" si="23"/>
        <v>1234794.9725117336</v>
      </c>
      <c r="N111">
        <f t="shared" si="18"/>
        <v>14.636453195290724</v>
      </c>
      <c r="P111" t="str">
        <f t="shared" si="19"/>
        <v/>
      </c>
    </row>
    <row r="112" spans="1:16">
      <c r="A112">
        <v>2021</v>
      </c>
      <c r="B112" t="s">
        <v>16</v>
      </c>
      <c r="C112">
        <v>70</v>
      </c>
      <c r="D112">
        <v>5</v>
      </c>
      <c r="E112">
        <v>2.5</v>
      </c>
      <c r="F112">
        <v>90093</v>
      </c>
      <c r="G112">
        <v>3834.73</v>
      </c>
      <c r="H112">
        <f t="shared" si="16"/>
        <v>4.256412817865983E-2</v>
      </c>
      <c r="I112">
        <f t="shared" si="20"/>
        <v>0.19235236418201979</v>
      </c>
      <c r="J112">
        <f t="shared" si="21"/>
        <v>74482.681198756211</v>
      </c>
      <c r="K112">
        <f t="shared" si="17"/>
        <v>14326.919819196433</v>
      </c>
      <c r="L112">
        <f t="shared" si="22"/>
        <v>336596.10644578998</v>
      </c>
      <c r="M112">
        <f t="shared" si="23"/>
        <v>837677.37531866098</v>
      </c>
      <c r="N112">
        <f t="shared" si="18"/>
        <v>11.24660608126241</v>
      </c>
      <c r="P112" t="str">
        <f t="shared" si="19"/>
        <v/>
      </c>
    </row>
    <row r="113" spans="1:16">
      <c r="A113">
        <v>2021</v>
      </c>
      <c r="B113" t="s">
        <v>16</v>
      </c>
      <c r="C113">
        <v>75</v>
      </c>
      <c r="D113">
        <v>5</v>
      </c>
      <c r="E113">
        <v>2.5</v>
      </c>
      <c r="F113">
        <v>75078</v>
      </c>
      <c r="G113">
        <v>5599.38</v>
      </c>
      <c r="H113">
        <f t="shared" si="16"/>
        <v>7.4580835930632139E-2</v>
      </c>
      <c r="I113">
        <f t="shared" si="20"/>
        <v>0.31430192828744291</v>
      </c>
      <c r="J113">
        <f t="shared" si="21"/>
        <v>60155.761379559779</v>
      </c>
      <c r="K113">
        <f t="shared" si="17"/>
        <v>18907.071799194924</v>
      </c>
      <c r="L113">
        <f t="shared" si="22"/>
        <v>253511.12739981158</v>
      </c>
      <c r="M113">
        <f t="shared" si="23"/>
        <v>501081.26887287095</v>
      </c>
      <c r="N113">
        <f t="shared" si="18"/>
        <v>8.329730309807573</v>
      </c>
      <c r="P113" t="str">
        <f t="shared" si="19"/>
        <v/>
      </c>
    </row>
    <row r="114" spans="1:16">
      <c r="A114">
        <v>2021</v>
      </c>
      <c r="B114" t="s">
        <v>16</v>
      </c>
      <c r="C114">
        <v>80</v>
      </c>
      <c r="D114">
        <v>5</v>
      </c>
      <c r="E114">
        <v>2.5</v>
      </c>
      <c r="F114">
        <v>60062</v>
      </c>
      <c r="G114">
        <v>8447.5300000000007</v>
      </c>
      <c r="H114">
        <f t="shared" si="16"/>
        <v>0.1406468316073391</v>
      </c>
      <c r="I114">
        <f t="shared" si="20"/>
        <v>0.52029096772544503</v>
      </c>
      <c r="J114">
        <f t="shared" si="21"/>
        <v>41248.689580364851</v>
      </c>
      <c r="K114">
        <f t="shared" si="17"/>
        <v>21461.320619174508</v>
      </c>
      <c r="L114">
        <f t="shared" si="22"/>
        <v>152590.14635388798</v>
      </c>
      <c r="M114">
        <f t="shared" si="23"/>
        <v>247570.14147305937</v>
      </c>
      <c r="N114">
        <f t="shared" si="18"/>
        <v>6.0018910659141858</v>
      </c>
      <c r="P114" t="str">
        <f t="shared" si="19"/>
        <v/>
      </c>
    </row>
    <row r="115" spans="1:16">
      <c r="A115">
        <v>2021</v>
      </c>
      <c r="B115" t="s">
        <v>16</v>
      </c>
      <c r="C115">
        <v>85</v>
      </c>
      <c r="D115">
        <v>999</v>
      </c>
      <c r="F115">
        <v>45047</v>
      </c>
      <c r="G115">
        <v>9384.73</v>
      </c>
      <c r="H115">
        <f t="shared" si="16"/>
        <v>0.20833196439274534</v>
      </c>
      <c r="I115">
        <f t="shared" si="20"/>
        <v>1</v>
      </c>
      <c r="J115">
        <f t="shared" si="21"/>
        <v>19787.368961190343</v>
      </c>
      <c r="K115">
        <f t="shared" si="17"/>
        <v>19787.368961190343</v>
      </c>
      <c r="L115">
        <f t="shared" si="22"/>
        <v>94979.995119171406</v>
      </c>
      <c r="M115">
        <f t="shared" si="23"/>
        <v>94979.995119171406</v>
      </c>
      <c r="N115">
        <f t="shared" si="18"/>
        <v>4.8000315405983978</v>
      </c>
      <c r="P115" t="str">
        <f t="shared" si="19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workbookViewId="0">
      <selection activeCell="B31" sqref="B31:J31"/>
    </sheetView>
  </sheetViews>
  <sheetFormatPr baseColWidth="10" defaultRowHeight="15"/>
  <cols>
    <col min="1" max="1" width="10.28515625" customWidth="1"/>
    <col min="2" max="2" width="10" customWidth="1"/>
    <col min="3" max="3" width="16.5703125" customWidth="1"/>
    <col min="4" max="4" width="17.28515625" customWidth="1"/>
    <col min="5" max="5" width="13.28515625" customWidth="1"/>
    <col min="6" max="6" width="32.140625" customWidth="1"/>
    <col min="8" max="8" width="7" customWidth="1"/>
    <col min="9" max="9" width="12.140625" customWidth="1"/>
    <col min="10" max="10" width="12.42578125" customWidth="1"/>
  </cols>
  <sheetData>
    <row r="1" spans="1:10" ht="14.25" customHeight="1">
      <c r="A1" s="12" t="s">
        <v>17</v>
      </c>
      <c r="B1" s="12" t="s">
        <v>1</v>
      </c>
      <c r="C1" s="13" t="s">
        <v>18</v>
      </c>
      <c r="D1" s="13" t="s">
        <v>19</v>
      </c>
      <c r="E1" s="13" t="s">
        <v>20</v>
      </c>
      <c r="F1" s="12" t="s">
        <v>21</v>
      </c>
      <c r="H1" s="3" t="s">
        <v>24</v>
      </c>
      <c r="I1" s="4" t="s">
        <v>15</v>
      </c>
      <c r="J1" s="5" t="s">
        <v>16</v>
      </c>
    </row>
    <row r="2" spans="1:10" ht="21.75" customHeight="1">
      <c r="A2" s="2">
        <v>2010</v>
      </c>
      <c r="B2" s="2" t="s">
        <v>15</v>
      </c>
      <c r="C2" s="14">
        <f>SUMIFS(base_nuevo_leon!N:N, base_nuevo_leon!A:A,A2,base_nuevo_leon!B:B,B2,base_nuevo_leon!C:C,0)</f>
        <v>74.599950664424995</v>
      </c>
      <c r="D2" s="14">
        <v>74.599999999999994</v>
      </c>
      <c r="E2" s="14">
        <f>C2-D2</f>
        <v>-4.9335574999531673E-5</v>
      </c>
      <c r="F2" s="2" t="s">
        <v>22</v>
      </c>
      <c r="H2" s="6">
        <v>2010</v>
      </c>
      <c r="I2" s="7">
        <v>74.599999999999994</v>
      </c>
      <c r="J2" s="8">
        <v>80.3</v>
      </c>
    </row>
    <row r="3" spans="1:10" ht="29.25">
      <c r="A3" s="2">
        <v>2010</v>
      </c>
      <c r="B3" s="2" t="s">
        <v>16</v>
      </c>
      <c r="C3" s="14">
        <f>SUMIFS(base_nuevo_leon!N:N, base_nuevo_leon!A:A,A3,base_nuevo_leon!B:B,B3,base_nuevo_leon!C:C,0)</f>
        <v>80.299998765702384</v>
      </c>
      <c r="D3" s="14">
        <v>80.3</v>
      </c>
      <c r="E3" s="14">
        <f t="shared" ref="E3:E7" si="0">C3-D3</f>
        <v>-1.2342976134505079E-6</v>
      </c>
      <c r="F3" s="2" t="s">
        <v>22</v>
      </c>
      <c r="H3" s="6">
        <v>2019</v>
      </c>
      <c r="I3" s="7">
        <v>74.8</v>
      </c>
      <c r="J3" s="8">
        <v>80.5</v>
      </c>
    </row>
    <row r="4" spans="1:10" ht="29.25">
      <c r="A4" s="2">
        <v>2019</v>
      </c>
      <c r="B4" s="2" t="s">
        <v>15</v>
      </c>
      <c r="C4" s="14">
        <f>SUMIFS(base_nuevo_leon!N:N, base_nuevo_leon!A:A,A4,base_nuevo_leon!B:B,B4,base_nuevo_leon!C:C,0)</f>
        <v>74.799994973788174</v>
      </c>
      <c r="D4" s="14">
        <v>74.8</v>
      </c>
      <c r="E4" s="14">
        <f t="shared" si="0"/>
        <v>-5.0262118236332753E-6</v>
      </c>
      <c r="F4" s="2" t="s">
        <v>22</v>
      </c>
      <c r="H4" s="9">
        <v>2021</v>
      </c>
      <c r="I4" s="10">
        <v>67.099999999999994</v>
      </c>
      <c r="J4" s="11">
        <v>75.599999999999994</v>
      </c>
    </row>
    <row r="5" spans="1:10" ht="26.25" customHeight="1">
      <c r="A5" s="2">
        <v>2019</v>
      </c>
      <c r="B5" s="2" t="s">
        <v>16</v>
      </c>
      <c r="C5" s="14">
        <f>SUMIFS(base_nuevo_leon!N:N, base_nuevo_leon!A:A,A5,base_nuevo_leon!B:B,B5,base_nuevo_leon!C:C,0)</f>
        <v>80.499948821976616</v>
      </c>
      <c r="D5" s="14">
        <v>80.5</v>
      </c>
      <c r="E5" s="14">
        <f t="shared" si="0"/>
        <v>-5.1178023383613436E-5</v>
      </c>
      <c r="F5" s="2" t="s">
        <v>22</v>
      </c>
    </row>
    <row r="6" spans="1:10" ht="39.75" customHeight="1">
      <c r="A6" s="2">
        <v>2021</v>
      </c>
      <c r="B6" s="2" t="s">
        <v>15</v>
      </c>
      <c r="C6" s="14">
        <f>SUMIFS(base_nuevo_leon!N:N, base_nuevo_leon!A:A,A6,base_nuevo_leon!B:B,B6,base_nuevo_leon!C:C,0)</f>
        <v>67.09999648752401</v>
      </c>
      <c r="D6" s="14">
        <v>67.099999999999994</v>
      </c>
      <c r="E6" s="14">
        <f t="shared" si="0"/>
        <v>-3.5124759847349196E-6</v>
      </c>
      <c r="F6" s="2" t="s">
        <v>23</v>
      </c>
      <c r="H6" s="18"/>
      <c r="I6" s="16"/>
      <c r="J6" s="16"/>
    </row>
    <row r="7" spans="1:10" ht="33" customHeight="1">
      <c r="A7" s="2">
        <v>2021</v>
      </c>
      <c r="B7" s="2" t="s">
        <v>16</v>
      </c>
      <c r="C7" s="14">
        <f>SUMIFS(base_nuevo_leon!N:N, base_nuevo_leon!A:A,A7,base_nuevo_leon!B:B,B7,base_nuevo_leon!C:C,0)</f>
        <v>75.599985632873469</v>
      </c>
      <c r="D7" s="14">
        <v>75.599999999999994</v>
      </c>
      <c r="E7" s="14">
        <f t="shared" si="0"/>
        <v>-1.4367126524916785E-5</v>
      </c>
      <c r="F7" s="2" t="s">
        <v>23</v>
      </c>
    </row>
    <row r="9" spans="1:10" ht="18.75">
      <c r="A9" s="15"/>
      <c r="B9" s="16"/>
      <c r="C9" s="16"/>
      <c r="D9" s="16"/>
      <c r="E9" s="16"/>
      <c r="F9" s="16"/>
    </row>
    <row r="31" spans="2:10">
      <c r="B31" s="17"/>
      <c r="C31" s="16"/>
      <c r="D31" s="16"/>
      <c r="E31" s="16"/>
      <c r="F31" s="16"/>
      <c r="G31" s="16"/>
      <c r="H31" s="16"/>
      <c r="I31" s="16"/>
      <c r="J31" s="16"/>
    </row>
  </sheetData>
  <mergeCells count="3">
    <mergeCell ref="A9:F9"/>
    <mergeCell ref="B31:J31"/>
    <mergeCell ref="H6:J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base_nuevo_leon</vt:lpstr>
      <vt:lpstr>Resumen_EV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Atza Alcibar</dc:creator>
  <cp:lastModifiedBy>agustin alcibar</cp:lastModifiedBy>
  <dcterms:created xsi:type="dcterms:W3CDTF">2026-06-04T22:13:10Z</dcterms:created>
  <dcterms:modified xsi:type="dcterms:W3CDTF">2026-06-04T22:36:52Z</dcterms:modified>
</cp:coreProperties>
</file>