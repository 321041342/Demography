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tza_\Documents\Demo\Demography_9219\"/>
    </mc:Choice>
  </mc:AlternateContent>
  <xr:revisionPtr revIDLastSave="0" documentId="8_{D4886691-BFAA-41EC-B8FF-62794E06698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bla_vida_2019" sheetId="1" r:id="rId1"/>
    <sheet name="resumen" sheetId="2" r:id="rId2"/>
    <sheet name="homicidios_2019" sheetId="3" r:id="rId3"/>
    <sheet name="formulas" sheetId="4" r:id="rId4"/>
  </sheets>
  <calcPr calcId="181029"/>
</workbook>
</file>

<file path=xl/calcChain.xml><?xml version="1.0" encoding="utf-8"?>
<calcChain xmlns="http://schemas.openxmlformats.org/spreadsheetml/2006/main">
  <c r="I20" i="1" l="1"/>
  <c r="E3" i="2"/>
  <c r="E2" i="2"/>
  <c r="R37" i="1"/>
  <c r="P37" i="1"/>
  <c r="I37" i="1"/>
  <c r="H37" i="1"/>
  <c r="P36" i="1"/>
  <c r="H36" i="1"/>
  <c r="P35" i="1"/>
  <c r="H35" i="1"/>
  <c r="P34" i="1"/>
  <c r="H34" i="1"/>
  <c r="P33" i="1"/>
  <c r="H33" i="1"/>
  <c r="P32" i="1"/>
  <c r="H32" i="1"/>
  <c r="P31" i="1"/>
  <c r="H31" i="1"/>
  <c r="P30" i="1"/>
  <c r="H30" i="1"/>
  <c r="P29" i="1"/>
  <c r="H29" i="1"/>
  <c r="P28" i="1"/>
  <c r="H28" i="1"/>
  <c r="P27" i="1"/>
  <c r="H27" i="1"/>
  <c r="P26" i="1"/>
  <c r="H26" i="1"/>
  <c r="P25" i="1"/>
  <c r="H25" i="1"/>
  <c r="P24" i="1"/>
  <c r="H24" i="1"/>
  <c r="P23" i="1"/>
  <c r="H23" i="1"/>
  <c r="P22" i="1"/>
  <c r="H22" i="1"/>
  <c r="S21" i="1"/>
  <c r="P21" i="1"/>
  <c r="J21" i="1"/>
  <c r="H21" i="1"/>
  <c r="R20" i="1"/>
  <c r="P20" i="1"/>
  <c r="H20" i="1"/>
  <c r="P19" i="1"/>
  <c r="H19" i="1"/>
  <c r="P18" i="1"/>
  <c r="H18" i="1"/>
  <c r="P17" i="1"/>
  <c r="H17" i="1"/>
  <c r="P16" i="1"/>
  <c r="H16" i="1"/>
  <c r="P15" i="1"/>
  <c r="H15" i="1"/>
  <c r="P14" i="1"/>
  <c r="H14" i="1"/>
  <c r="P13" i="1"/>
  <c r="H13" i="1"/>
  <c r="P12" i="1"/>
  <c r="H12" i="1"/>
  <c r="P11" i="1"/>
  <c r="H11" i="1"/>
  <c r="P10" i="1"/>
  <c r="H10" i="1"/>
  <c r="P9" i="1"/>
  <c r="H9" i="1"/>
  <c r="P8" i="1"/>
  <c r="H8" i="1"/>
  <c r="P7" i="1"/>
  <c r="H7" i="1"/>
  <c r="P6" i="1"/>
  <c r="H6" i="1"/>
  <c r="P5" i="1"/>
  <c r="H5" i="1"/>
  <c r="P4" i="1"/>
  <c r="H4" i="1"/>
  <c r="P3" i="1"/>
  <c r="H3" i="1"/>
  <c r="S2" i="1"/>
  <c r="P2" i="1"/>
  <c r="J2" i="1"/>
  <c r="H2" i="1"/>
  <c r="I16" i="1" l="1"/>
  <c r="Q15" i="1"/>
  <c r="R15" i="1" s="1"/>
  <c r="I15" i="1"/>
  <c r="Q14" i="1"/>
  <c r="R14" i="1" s="1"/>
  <c r="I14" i="1"/>
  <c r="Q13" i="1"/>
  <c r="R13" i="1" s="1"/>
  <c r="I13" i="1"/>
  <c r="Q12" i="1"/>
  <c r="R12" i="1" s="1"/>
  <c r="I12" i="1"/>
  <c r="Q11" i="1"/>
  <c r="R11" i="1" s="1"/>
  <c r="I11" i="1"/>
  <c r="Q10" i="1"/>
  <c r="R10" i="1" s="1"/>
  <c r="I10" i="1"/>
  <c r="Q9" i="1"/>
  <c r="R9" i="1" s="1"/>
  <c r="I9" i="1"/>
  <c r="Q8" i="1"/>
  <c r="R8" i="1" s="1"/>
  <c r="I8" i="1"/>
  <c r="Q7" i="1"/>
  <c r="R7" i="1" s="1"/>
  <c r="I7" i="1"/>
  <c r="Q6" i="1"/>
  <c r="R6" i="1" s="1"/>
  <c r="I6" i="1"/>
  <c r="Q5" i="1"/>
  <c r="R5" i="1" s="1"/>
  <c r="I5" i="1"/>
  <c r="Q4" i="1"/>
  <c r="R4" i="1" s="1"/>
  <c r="I4" i="1"/>
  <c r="Q3" i="1"/>
  <c r="R3" i="1" s="1"/>
  <c r="I3" i="1"/>
  <c r="Q2" i="1"/>
  <c r="R2" i="1" s="1"/>
  <c r="I2" i="1"/>
  <c r="Q37" i="1"/>
  <c r="Q36" i="1"/>
  <c r="R36" i="1" s="1"/>
  <c r="I36" i="1"/>
  <c r="Q35" i="1"/>
  <c r="R35" i="1" s="1"/>
  <c r="I35" i="1"/>
  <c r="Q34" i="1"/>
  <c r="R34" i="1" s="1"/>
  <c r="I34" i="1"/>
  <c r="Q33" i="1"/>
  <c r="R33" i="1" s="1"/>
  <c r="I33" i="1"/>
  <c r="Q32" i="1"/>
  <c r="R32" i="1" s="1"/>
  <c r="I32" i="1"/>
  <c r="Q31" i="1"/>
  <c r="R31" i="1" s="1"/>
  <c r="I31" i="1"/>
  <c r="Q30" i="1"/>
  <c r="R30" i="1" s="1"/>
  <c r="I30" i="1"/>
  <c r="Q29" i="1"/>
  <c r="R29" i="1" s="1"/>
  <c r="I29" i="1"/>
  <c r="Q28" i="1"/>
  <c r="R28" i="1" s="1"/>
  <c r="I28" i="1"/>
  <c r="Q27" i="1"/>
  <c r="R27" i="1" s="1"/>
  <c r="I27" i="1"/>
  <c r="Q26" i="1"/>
  <c r="R26" i="1" s="1"/>
  <c r="I26" i="1"/>
  <c r="Q25" i="1"/>
  <c r="R25" i="1" s="1"/>
  <c r="I25" i="1"/>
  <c r="Q24" i="1"/>
  <c r="R24" i="1" s="1"/>
  <c r="I24" i="1"/>
  <c r="Q23" i="1"/>
  <c r="R23" i="1" s="1"/>
  <c r="I23" i="1"/>
  <c r="Q22" i="1"/>
  <c r="R22" i="1" s="1"/>
  <c r="I22" i="1"/>
  <c r="Q21" i="1"/>
  <c r="R21" i="1" s="1"/>
  <c r="I21" i="1"/>
  <c r="Q20" i="1"/>
  <c r="Q19" i="1"/>
  <c r="R19" i="1" s="1"/>
  <c r="I19" i="1"/>
  <c r="Q18" i="1"/>
  <c r="R18" i="1" s="1"/>
  <c r="I18" i="1"/>
  <c r="Q17" i="1"/>
  <c r="R17" i="1" s="1"/>
  <c r="I17" i="1"/>
  <c r="Q16" i="1"/>
  <c r="R16" i="1" s="1"/>
  <c r="T21" i="1" l="1"/>
  <c r="S22" i="1" s="1"/>
  <c r="K21" i="1"/>
  <c r="J22" i="1" s="1"/>
  <c r="T2" i="1"/>
  <c r="S3" i="1" s="1"/>
  <c r="K2" i="1"/>
  <c r="J3" i="1" s="1"/>
  <c r="U21" i="1" l="1"/>
  <c r="T22" i="1"/>
  <c r="L21" i="1"/>
  <c r="K22" i="1"/>
  <c r="U2" i="1"/>
  <c r="T3" i="1"/>
  <c r="L2" i="1"/>
  <c r="J4" i="1"/>
  <c r="K3" i="1"/>
  <c r="K4" i="1" l="1"/>
  <c r="J5" i="1"/>
  <c r="L3" i="1"/>
  <c r="S23" i="1"/>
  <c r="J23" i="1"/>
  <c r="S4" i="1"/>
  <c r="L4" i="1" l="1"/>
  <c r="K5" i="1"/>
  <c r="U22" i="1"/>
  <c r="T23" i="1"/>
  <c r="L22" i="1"/>
  <c r="K23" i="1"/>
  <c r="U3" i="1"/>
  <c r="T4" i="1"/>
  <c r="J6" i="1" l="1"/>
  <c r="S24" i="1"/>
  <c r="J24" i="1"/>
  <c r="S5" i="1"/>
  <c r="L5" i="1" l="1"/>
  <c r="K6" i="1"/>
  <c r="U23" i="1"/>
  <c r="T24" i="1"/>
  <c r="L23" i="1"/>
  <c r="K24" i="1"/>
  <c r="U4" i="1"/>
  <c r="T5" i="1"/>
  <c r="S6" i="1"/>
  <c r="T6" i="1" l="1"/>
  <c r="S7" i="1"/>
  <c r="U5" i="1"/>
  <c r="J7" i="1"/>
  <c r="S25" i="1"/>
  <c r="J25" i="1"/>
  <c r="T7" i="1" l="1"/>
  <c r="S8" i="1"/>
  <c r="U6" i="1"/>
  <c r="L6" i="1"/>
  <c r="K7" i="1"/>
  <c r="U24" i="1"/>
  <c r="T25" i="1"/>
  <c r="L24" i="1"/>
  <c r="K25" i="1"/>
  <c r="T8" i="1" l="1"/>
  <c r="S9" i="1"/>
  <c r="U7" i="1"/>
  <c r="J8" i="1"/>
  <c r="S26" i="1"/>
  <c r="J26" i="1"/>
  <c r="T9" i="1" l="1"/>
  <c r="S10" i="1"/>
  <c r="U8" i="1"/>
  <c r="L7" i="1"/>
  <c r="K8" i="1"/>
  <c r="U25" i="1"/>
  <c r="T26" i="1"/>
  <c r="L25" i="1"/>
  <c r="K26" i="1"/>
  <c r="T10" i="1" l="1"/>
  <c r="S11" i="1"/>
  <c r="U9" i="1"/>
  <c r="J9" i="1"/>
  <c r="S27" i="1"/>
  <c r="J27" i="1"/>
  <c r="T11" i="1" l="1"/>
  <c r="S12" i="1"/>
  <c r="U10" i="1"/>
  <c r="L8" i="1"/>
  <c r="K9" i="1"/>
  <c r="U26" i="1"/>
  <c r="T27" i="1"/>
  <c r="L26" i="1"/>
  <c r="K27" i="1"/>
  <c r="T12" i="1" l="1"/>
  <c r="S13" i="1"/>
  <c r="U11" i="1"/>
  <c r="S28" i="1"/>
  <c r="J10" i="1"/>
  <c r="J28" i="1"/>
  <c r="T13" i="1" l="1"/>
  <c r="S14" i="1"/>
  <c r="U12" i="1"/>
  <c r="U27" i="1"/>
  <c r="T28" i="1"/>
  <c r="L9" i="1"/>
  <c r="K10" i="1"/>
  <c r="L27" i="1"/>
  <c r="K28" i="1"/>
  <c r="T14" i="1" l="1"/>
  <c r="S15" i="1"/>
  <c r="U13" i="1"/>
  <c r="J29" i="1"/>
  <c r="J11" i="1"/>
  <c r="S29" i="1"/>
  <c r="T15" i="1" l="1"/>
  <c r="S16" i="1"/>
  <c r="U14" i="1"/>
  <c r="L28" i="1"/>
  <c r="K29" i="1"/>
  <c r="L10" i="1"/>
  <c r="K11" i="1"/>
  <c r="U28" i="1"/>
  <c r="T29" i="1"/>
  <c r="T16" i="1" l="1"/>
  <c r="S17" i="1"/>
  <c r="U15" i="1"/>
  <c r="S30" i="1"/>
  <c r="J30" i="1"/>
  <c r="J12" i="1"/>
  <c r="T17" i="1" l="1"/>
  <c r="S18" i="1"/>
  <c r="U16" i="1"/>
  <c r="U29" i="1"/>
  <c r="T30" i="1"/>
  <c r="L29" i="1"/>
  <c r="K30" i="1"/>
  <c r="L11" i="1"/>
  <c r="K12" i="1"/>
  <c r="T18" i="1" l="1"/>
  <c r="U17" i="1"/>
  <c r="S31" i="1"/>
  <c r="J31" i="1"/>
  <c r="J13" i="1"/>
  <c r="U30" i="1" l="1"/>
  <c r="T31" i="1"/>
  <c r="L30" i="1"/>
  <c r="K31" i="1"/>
  <c r="L12" i="1"/>
  <c r="K13" i="1"/>
  <c r="S19" i="1"/>
  <c r="U18" i="1" l="1"/>
  <c r="T19" i="1"/>
  <c r="J32" i="1"/>
  <c r="J14" i="1"/>
  <c r="S32" i="1"/>
  <c r="L31" i="1" l="1"/>
  <c r="K32" i="1"/>
  <c r="L13" i="1"/>
  <c r="K14" i="1"/>
  <c r="U31" i="1"/>
  <c r="T32" i="1"/>
  <c r="S20" i="1"/>
  <c r="U19" i="1" l="1"/>
  <c r="U20" i="1"/>
  <c r="V20" i="1" s="1"/>
  <c r="W20" i="1" s="1"/>
  <c r="C3" i="2" s="1"/>
  <c r="T20" i="1"/>
  <c r="S33" i="1"/>
  <c r="J33" i="1"/>
  <c r="J15" i="1"/>
  <c r="U32" i="1" l="1"/>
  <c r="T33" i="1"/>
  <c r="L32" i="1"/>
  <c r="K33" i="1"/>
  <c r="L14" i="1"/>
  <c r="K15" i="1"/>
  <c r="V19" i="1"/>
  <c r="W19" i="1" l="1"/>
  <c r="V18" i="1"/>
  <c r="S34" i="1"/>
  <c r="J16" i="1"/>
  <c r="J34" i="1"/>
  <c r="W18" i="1" l="1"/>
  <c r="V17" i="1"/>
  <c r="U33" i="1"/>
  <c r="T34" i="1"/>
  <c r="L15" i="1"/>
  <c r="K16" i="1"/>
  <c r="L33" i="1"/>
  <c r="K34" i="1"/>
  <c r="W17" i="1" l="1"/>
  <c r="V16" i="1"/>
  <c r="S35" i="1"/>
  <c r="J35" i="1"/>
  <c r="J17" i="1"/>
  <c r="W16" i="1" l="1"/>
  <c r="V15" i="1"/>
  <c r="U34" i="1"/>
  <c r="T35" i="1"/>
  <c r="L34" i="1"/>
  <c r="K35" i="1"/>
  <c r="L16" i="1"/>
  <c r="K17" i="1"/>
  <c r="W15" i="1" l="1"/>
  <c r="V14" i="1"/>
  <c r="S36" i="1"/>
  <c r="J36" i="1"/>
  <c r="J18" i="1"/>
  <c r="W14" i="1" l="1"/>
  <c r="V13" i="1"/>
  <c r="U35" i="1"/>
  <c r="T36" i="1"/>
  <c r="L35" i="1"/>
  <c r="K36" i="1"/>
  <c r="L17" i="1"/>
  <c r="K18" i="1"/>
  <c r="W13" i="1" l="1"/>
  <c r="V12" i="1"/>
  <c r="J19" i="1"/>
  <c r="S37" i="1"/>
  <c r="J37" i="1"/>
  <c r="W12" i="1" l="1"/>
  <c r="V11" i="1"/>
  <c r="L18" i="1"/>
  <c r="K19" i="1"/>
  <c r="U36" i="1"/>
  <c r="U37" i="1"/>
  <c r="V37" i="1" s="1"/>
  <c r="W37" i="1" s="1"/>
  <c r="T37" i="1"/>
  <c r="L36" i="1"/>
  <c r="L37" i="1"/>
  <c r="M37" i="1" s="1"/>
  <c r="N37" i="1" s="1"/>
  <c r="K37" i="1"/>
  <c r="W11" i="1" l="1"/>
  <c r="V10" i="1"/>
  <c r="J20" i="1"/>
  <c r="V36" i="1"/>
  <c r="M36" i="1"/>
  <c r="W10" i="1" l="1"/>
  <c r="V9" i="1"/>
  <c r="L19" i="1"/>
  <c r="L20" i="1"/>
  <c r="M20" i="1" s="1"/>
  <c r="N20" i="1" s="1"/>
  <c r="B3" i="2" s="1"/>
  <c r="D3" i="2" s="1"/>
  <c r="K20" i="1"/>
  <c r="W36" i="1"/>
  <c r="V35" i="1"/>
  <c r="N36" i="1"/>
  <c r="M35" i="1"/>
  <c r="W9" i="1" l="1"/>
  <c r="V8" i="1"/>
  <c r="W35" i="1"/>
  <c r="V34" i="1"/>
  <c r="N35" i="1"/>
  <c r="M34" i="1"/>
  <c r="M19" i="1"/>
  <c r="W8" i="1" l="1"/>
  <c r="V7" i="1"/>
  <c r="W34" i="1"/>
  <c r="V33" i="1"/>
  <c r="N34" i="1"/>
  <c r="M33" i="1"/>
  <c r="N19" i="1"/>
  <c r="M18" i="1"/>
  <c r="W7" i="1" l="1"/>
  <c r="V6" i="1"/>
  <c r="W33" i="1"/>
  <c r="V32" i="1"/>
  <c r="N33" i="1"/>
  <c r="M32" i="1"/>
  <c r="N18" i="1"/>
  <c r="M17" i="1"/>
  <c r="W6" i="1" l="1"/>
  <c r="V5" i="1"/>
  <c r="W32" i="1"/>
  <c r="V31" i="1"/>
  <c r="N32" i="1"/>
  <c r="M31" i="1"/>
  <c r="N17" i="1"/>
  <c r="M16" i="1"/>
  <c r="W5" i="1" l="1"/>
  <c r="V4" i="1"/>
  <c r="W31" i="1"/>
  <c r="V30" i="1"/>
  <c r="N31" i="1"/>
  <c r="M30" i="1"/>
  <c r="N16" i="1"/>
  <c r="M15" i="1"/>
  <c r="W4" i="1" l="1"/>
  <c r="V3" i="1"/>
  <c r="W30" i="1"/>
  <c r="V29" i="1"/>
  <c r="N30" i="1"/>
  <c r="M29" i="1"/>
  <c r="N15" i="1"/>
  <c r="M14" i="1"/>
  <c r="W3" i="1" l="1"/>
  <c r="V2" i="1"/>
  <c r="W2" i="1" s="1"/>
  <c r="C2" i="2" s="1"/>
  <c r="W29" i="1"/>
  <c r="V28" i="1"/>
  <c r="N29" i="1"/>
  <c r="M28" i="1"/>
  <c r="N14" i="1"/>
  <c r="M13" i="1"/>
  <c r="W28" i="1" l="1"/>
  <c r="V27" i="1"/>
  <c r="N28" i="1"/>
  <c r="M27" i="1"/>
  <c r="N13" i="1"/>
  <c r="M12" i="1"/>
  <c r="W27" i="1" l="1"/>
  <c r="V26" i="1"/>
  <c r="N27" i="1"/>
  <c r="M26" i="1"/>
  <c r="N12" i="1"/>
  <c r="M11" i="1"/>
  <c r="W26" i="1" l="1"/>
  <c r="V25" i="1"/>
  <c r="N26" i="1"/>
  <c r="M25" i="1"/>
  <c r="N11" i="1"/>
  <c r="M10" i="1"/>
  <c r="W25" i="1" l="1"/>
  <c r="V24" i="1"/>
  <c r="N25" i="1"/>
  <c r="M24" i="1"/>
  <c r="N10" i="1"/>
  <c r="M9" i="1"/>
  <c r="W24" i="1" l="1"/>
  <c r="V23" i="1"/>
  <c r="N24" i="1"/>
  <c r="M23" i="1"/>
  <c r="N9" i="1"/>
  <c r="M8" i="1"/>
  <c r="W23" i="1" l="1"/>
  <c r="V22" i="1"/>
  <c r="N23" i="1"/>
  <c r="M22" i="1"/>
  <c r="N8" i="1"/>
  <c r="M7" i="1"/>
  <c r="W22" i="1" l="1"/>
  <c r="V21" i="1"/>
  <c r="W21" i="1" s="1"/>
  <c r="N22" i="1"/>
  <c r="M21" i="1"/>
  <c r="N21" i="1" s="1"/>
  <c r="N7" i="1"/>
  <c r="M6" i="1"/>
  <c r="N6" i="1" l="1"/>
  <c r="M5" i="1"/>
  <c r="N5" i="1" l="1"/>
  <c r="M4" i="1"/>
  <c r="N4" i="1" l="1"/>
  <c r="M3" i="1"/>
  <c r="N3" i="1" l="1"/>
  <c r="M2" i="1"/>
  <c r="N2" i="1" s="1"/>
  <c r="B2" i="2" s="1"/>
  <c r="D2" i="2" s="1"/>
</calcChain>
</file>

<file path=xl/sharedStrings.xml><?xml version="1.0" encoding="utf-8"?>
<sst xmlns="http://schemas.openxmlformats.org/spreadsheetml/2006/main" count="159" uniqueCount="65">
  <si>
    <t>año</t>
  </si>
  <si>
    <t>sexo</t>
  </si>
  <si>
    <t>edad_inicio</t>
  </si>
  <si>
    <t>n</t>
  </si>
  <si>
    <t>ax</t>
  </si>
  <si>
    <t>poblacion</t>
  </si>
  <si>
    <t>defunciones</t>
  </si>
  <si>
    <t>mx</t>
  </si>
  <si>
    <t>qx</t>
  </si>
  <si>
    <t>lx</t>
  </si>
  <si>
    <t>dx</t>
  </si>
  <si>
    <t>Lx</t>
  </si>
  <si>
    <t>Tx</t>
  </si>
  <si>
    <t>ex</t>
  </si>
  <si>
    <t>homicidios_2019</t>
  </si>
  <si>
    <t>defunciones_corregidas</t>
  </si>
  <si>
    <t>mx_corregida</t>
  </si>
  <si>
    <t>qx_corregida</t>
  </si>
  <si>
    <t>lx_corregida</t>
  </si>
  <si>
    <t>dx_corregida</t>
  </si>
  <si>
    <t>Lx_corregida</t>
  </si>
  <si>
    <t>Tx_corregida</t>
  </si>
  <si>
    <t>ex_corregida</t>
  </si>
  <si>
    <t>Hombres</t>
  </si>
  <si>
    <t>Mujeres</t>
  </si>
  <si>
    <t>e0_original</t>
  </si>
  <si>
    <t>e0_sin_homicidios</t>
  </si>
  <si>
    <t>ganancia_e0</t>
  </si>
  <si>
    <t>Cálculo</t>
  </si>
  <si>
    <t>Fórmula usada</t>
  </si>
  <si>
    <t>Descripción</t>
  </si>
  <si>
    <t>mx = defunciones / población</t>
  </si>
  <si>
    <t>Tasa central de mortalidad con las defunciones originales.</t>
  </si>
  <si>
    <t>qx = (n * mx) / (1 + (n - ax) * mx)</t>
  </si>
  <si>
    <t>Probabilidad de morir dentro del intervalo de edad. En 85+ se tomó qx = 1.</t>
  </si>
  <si>
    <t>lx inicial = 100000; después lx = lx anterior - dx anterior</t>
  </si>
  <si>
    <t>Sobrevivientes al inicio de cada intervalo.</t>
  </si>
  <si>
    <t>dx = lx * qx</t>
  </si>
  <si>
    <t>Defunciones de la tabla de vida.</t>
  </si>
  <si>
    <t>Lx = n * lx siguiente + ax * dx</t>
  </si>
  <si>
    <t>Años-persona vividos en el intervalo.</t>
  </si>
  <si>
    <t>Tx = Lx + Tx siguiente</t>
  </si>
  <si>
    <t>Años-persona que quedan por vivir desde la edad x.</t>
  </si>
  <si>
    <t>ex = Tx / lx</t>
  </si>
  <si>
    <t>Esperanza de vida a la edad x.</t>
  </si>
  <si>
    <t>Dato de INEGI por sexo y grupo de edad</t>
  </si>
  <si>
    <t>Defunciones por homicidio en Nuevo León durante 2019.</t>
  </si>
  <si>
    <t>defunciones_corregidas = defunciones - homicidios_2019</t>
  </si>
  <si>
    <t>Resta las defunciones por homicidio al total de defunciones.</t>
  </si>
  <si>
    <t>mx_corregida = defunciones_corregidas / población</t>
  </si>
  <si>
    <t>Tasa central de mortalidad sin homicidios.</t>
  </si>
  <si>
    <t>qx_corregida = (n * mx_corregida) / (1 + (n - ax) * mx_corregida)</t>
  </si>
  <si>
    <t>Probabilidad de morir sin homicidios. En 85+ se tomó qx = 1.</t>
  </si>
  <si>
    <t>Sobrevivientes recalculados sin homicidios.</t>
  </si>
  <si>
    <t>dx_corregida = lx_corregida * qx_corregida</t>
  </si>
  <si>
    <t>Defunciones de la tabla de vida sin homicidios.</t>
  </si>
  <si>
    <t>Lx_corregida = n * lx siguiente + ax * dx_corregida</t>
  </si>
  <si>
    <t>Años-persona vividos sin homicidios.</t>
  </si>
  <si>
    <t>Tx_corregida = Lx_corregida + Tx_corregida siguiente</t>
  </si>
  <si>
    <t>Años-persona restantes sin homicidios.</t>
  </si>
  <si>
    <t>ex_corregida = Tx_corregida / lx_corregida</t>
  </si>
  <si>
    <t>Esperanza de vida sin homicidios.</t>
  </si>
  <si>
    <t>grupo 85+</t>
  </si>
  <si>
    <t>Lx = lx / mx</t>
  </si>
  <si>
    <t>Para el grupo abierto se usa lx dividido entre mx.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</si>
</sst>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2">
    <font>
      <sz val="11"/>
      <name val="Carlito"/>
    </font>
    <font>
      <b/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"/>
  <sheetViews>
    <sheetView topLeftCell="M1" workbookViewId="0">
      <selection activeCell="X2" sqref="X2"/>
    </sheetView>
  </sheetViews>
  <sheetFormatPr baseColWidth="10" defaultColWidth="9" defaultRowHeight="14.25"/>
  <cols>
    <col min="1" max="1" width="14" customWidth="1"/>
    <col min="2" max="2" width="12" customWidth="1"/>
    <col min="3" max="23" width="14" customWidth="1"/>
  </cols>
  <sheetData>
    <row r="1" spans="1:23" ht="27.75" customHeight="1">
      <c r="A1" s="2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</row>
    <row r="2" spans="1:23">
      <c r="A2">
        <v>2019</v>
      </c>
      <c r="B2" t="s">
        <v>23</v>
      </c>
      <c r="C2">
        <v>0</v>
      </c>
      <c r="D2">
        <v>1</v>
      </c>
      <c r="E2">
        <v>0.1</v>
      </c>
      <c r="F2">
        <v>43436</v>
      </c>
      <c r="G2">
        <v>258.14</v>
      </c>
      <c r="H2">
        <f t="shared" ref="H2:H37" si="0">G2/F2</f>
        <v>5.9429965926880929E-3</v>
      </c>
      <c r="I2">
        <f t="shared" ref="I2:I20" si="1">(D2*H2)/(1+(D2-E2)*H2)</f>
        <v>5.9113784210551145E-3</v>
      </c>
      <c r="J2">
        <f>100000</f>
        <v>100000</v>
      </c>
      <c r="K2">
        <f t="shared" ref="K2:K37" si="2">J2*I2</f>
        <v>591.13784210551148</v>
      </c>
      <c r="L2">
        <f t="shared" ref="L2:L19" si="3">D2*J3+E2*K2</f>
        <v>99467.97594210504</v>
      </c>
      <c r="M2">
        <f t="shared" ref="M2:M19" si="4">L2+M3</f>
        <v>7479999.4973788168</v>
      </c>
      <c r="N2">
        <f t="shared" ref="N2:N37" si="5">M2/J2</f>
        <v>74.799994973788174</v>
      </c>
      <c r="O2">
        <v>5</v>
      </c>
      <c r="P2">
        <f t="shared" ref="P2:P37" si="6">G2-O2</f>
        <v>253.14</v>
      </c>
      <c r="Q2">
        <f t="shared" ref="Q2:Q37" si="7">P2/F2</f>
        <v>5.8278847039322217E-3</v>
      </c>
      <c r="R2">
        <f t="shared" ref="R2:R19" si="8">(D2*Q2)/(1+(D2-E2)*Q2)</f>
        <v>5.7974763823948902E-3</v>
      </c>
      <c r="S2">
        <f>100000</f>
        <v>100000</v>
      </c>
      <c r="T2">
        <f t="shared" ref="T2:T37" si="9">S2*R2</f>
        <v>579.74763823948899</v>
      </c>
      <c r="U2">
        <f t="shared" ref="U2:U19" si="10">D2*S3+E2*T2</f>
        <v>99478.227125584453</v>
      </c>
      <c r="V2">
        <f t="shared" ref="V2:V19" si="11">U2+V3</f>
        <v>7567296.3771861801</v>
      </c>
      <c r="W2">
        <f t="shared" ref="W2:W37" si="12">V2/S2</f>
        <v>75.672963771861802</v>
      </c>
    </row>
    <row r="3" spans="1:23">
      <c r="A3">
        <v>2019</v>
      </c>
      <c r="B3" t="s">
        <v>23</v>
      </c>
      <c r="C3">
        <v>1</v>
      </c>
      <c r="D3">
        <v>4</v>
      </c>
      <c r="E3">
        <v>2</v>
      </c>
      <c r="F3">
        <v>173745</v>
      </c>
      <c r="G3">
        <v>68.52</v>
      </c>
      <c r="H3">
        <f t="shared" si="0"/>
        <v>3.9437106103772768E-4</v>
      </c>
      <c r="I3">
        <f t="shared" si="1"/>
        <v>1.576240996482443E-3</v>
      </c>
      <c r="J3">
        <f t="shared" ref="J3:J20" si="13">J2-K2</f>
        <v>99408.862157894488</v>
      </c>
      <c r="K3">
        <f t="shared" si="2"/>
        <v>156.69232394694544</v>
      </c>
      <c r="L3">
        <f t="shared" si="3"/>
        <v>397322.06398368406</v>
      </c>
      <c r="M3">
        <f t="shared" si="4"/>
        <v>7380531.5214367118</v>
      </c>
      <c r="N3">
        <f t="shared" si="5"/>
        <v>74.24420078075093</v>
      </c>
      <c r="O3">
        <v>0</v>
      </c>
      <c r="P3">
        <f t="shared" si="6"/>
        <v>68.52</v>
      </c>
      <c r="Q3">
        <f t="shared" si="7"/>
        <v>3.9437106103772768E-4</v>
      </c>
      <c r="R3">
        <f t="shared" si="8"/>
        <v>1.576240996482443E-3</v>
      </c>
      <c r="S3">
        <f t="shared" ref="S3:S20" si="14">S2-T2</f>
        <v>99420.252361760504</v>
      </c>
      <c r="T3">
        <f t="shared" si="9"/>
        <v>156.71027765323734</v>
      </c>
      <c r="U3">
        <f t="shared" si="10"/>
        <v>397367.58889173553</v>
      </c>
      <c r="V3">
        <f t="shared" si="11"/>
        <v>7467818.1500605959</v>
      </c>
      <c r="W3">
        <f t="shared" si="12"/>
        <v>75.113651118963602</v>
      </c>
    </row>
    <row r="4" spans="1:23">
      <c r="A4">
        <v>2019</v>
      </c>
      <c r="B4" t="s">
        <v>23</v>
      </c>
      <c r="C4">
        <v>5</v>
      </c>
      <c r="D4">
        <v>5</v>
      </c>
      <c r="E4">
        <v>2.5</v>
      </c>
      <c r="F4">
        <v>231660</v>
      </c>
      <c r="G4">
        <v>36.53</v>
      </c>
      <c r="H4">
        <f t="shared" si="0"/>
        <v>1.5768799102132435E-4</v>
      </c>
      <c r="I4">
        <f t="shared" si="1"/>
        <v>7.8812925880790538E-4</v>
      </c>
      <c r="J4">
        <f t="shared" si="13"/>
        <v>99252.169833947541</v>
      </c>
      <c r="K4">
        <f t="shared" si="2"/>
        <v>78.223539046305419</v>
      </c>
      <c r="L4">
        <f t="shared" si="3"/>
        <v>496065.29032212199</v>
      </c>
      <c r="M4">
        <f t="shared" si="4"/>
        <v>6983209.4574530274</v>
      </c>
      <c r="N4">
        <f t="shared" si="5"/>
        <v>70.358254828445453</v>
      </c>
      <c r="O4">
        <v>0</v>
      </c>
      <c r="P4">
        <f t="shared" si="6"/>
        <v>36.53</v>
      </c>
      <c r="Q4">
        <f t="shared" si="7"/>
        <v>1.5768799102132435E-4</v>
      </c>
      <c r="R4">
        <f t="shared" si="8"/>
        <v>7.8812925880790538E-4</v>
      </c>
      <c r="S4">
        <f t="shared" si="14"/>
        <v>99263.542084107263</v>
      </c>
      <c r="T4">
        <f t="shared" si="9"/>
        <v>78.232501849394779</v>
      </c>
      <c r="U4">
        <f t="shared" si="10"/>
        <v>496122.1291659128</v>
      </c>
      <c r="V4">
        <f t="shared" si="11"/>
        <v>7070450.5611688606</v>
      </c>
      <c r="W4">
        <f t="shared" si="12"/>
        <v>71.229077793516353</v>
      </c>
    </row>
    <row r="5" spans="1:23">
      <c r="A5">
        <v>2019</v>
      </c>
      <c r="B5" t="s">
        <v>23</v>
      </c>
      <c r="C5">
        <v>10</v>
      </c>
      <c r="D5">
        <v>5</v>
      </c>
      <c r="E5">
        <v>2.5</v>
      </c>
      <c r="F5">
        <v>231660</v>
      </c>
      <c r="G5">
        <v>48.72</v>
      </c>
      <c r="H5">
        <f t="shared" si="0"/>
        <v>2.1030821030821031E-4</v>
      </c>
      <c r="I5">
        <f t="shared" si="1"/>
        <v>1.0509884727791397E-3</v>
      </c>
      <c r="J5">
        <f t="shared" si="13"/>
        <v>99173.946294901238</v>
      </c>
      <c r="K5">
        <f t="shared" si="2"/>
        <v>104.23067435595867</v>
      </c>
      <c r="L5">
        <f t="shared" si="3"/>
        <v>495609.15478861629</v>
      </c>
      <c r="M5">
        <f t="shared" si="4"/>
        <v>6487144.1671309052</v>
      </c>
      <c r="N5">
        <f t="shared" si="5"/>
        <v>65.411778087774096</v>
      </c>
      <c r="O5">
        <v>4</v>
      </c>
      <c r="P5">
        <f t="shared" si="6"/>
        <v>44.72</v>
      </c>
      <c r="Q5">
        <f t="shared" si="7"/>
        <v>1.9304152637485971E-4</v>
      </c>
      <c r="R5">
        <f t="shared" si="8"/>
        <v>9.6474204368262239E-4</v>
      </c>
      <c r="S5">
        <f t="shared" si="14"/>
        <v>99185.309582257862</v>
      </c>
      <c r="T5">
        <f t="shared" si="9"/>
        <v>95.688238269681037</v>
      </c>
      <c r="U5">
        <f t="shared" si="10"/>
        <v>495687.32731561508</v>
      </c>
      <c r="V5">
        <f t="shared" si="11"/>
        <v>6574328.4320029477</v>
      </c>
      <c r="W5">
        <f t="shared" si="12"/>
        <v>66.28328791523937</v>
      </c>
    </row>
    <row r="6" spans="1:23">
      <c r="A6">
        <v>2019</v>
      </c>
      <c r="B6" t="s">
        <v>23</v>
      </c>
      <c r="C6">
        <v>15</v>
      </c>
      <c r="D6">
        <v>5</v>
      </c>
      <c r="E6">
        <v>2.5</v>
      </c>
      <c r="F6">
        <v>217181</v>
      </c>
      <c r="G6">
        <v>102.83</v>
      </c>
      <c r="H6">
        <f t="shared" si="0"/>
        <v>4.7347604072179428E-4</v>
      </c>
      <c r="I6">
        <f t="shared" si="1"/>
        <v>2.3645812721622005E-3</v>
      </c>
      <c r="J6">
        <f t="shared" si="13"/>
        <v>99069.715620545277</v>
      </c>
      <c r="K6">
        <f t="shared" si="2"/>
        <v>234.25839419477637</v>
      </c>
      <c r="L6">
        <f t="shared" si="3"/>
        <v>494762.9321172394</v>
      </c>
      <c r="M6">
        <f t="shared" si="4"/>
        <v>5991535.0123422891</v>
      </c>
      <c r="N6">
        <f t="shared" si="5"/>
        <v>60.477967205345976</v>
      </c>
      <c r="O6">
        <v>64</v>
      </c>
      <c r="P6">
        <f t="shared" si="6"/>
        <v>38.83</v>
      </c>
      <c r="Q6">
        <f t="shared" si="7"/>
        <v>1.7879096237700352E-4</v>
      </c>
      <c r="R6">
        <f t="shared" si="8"/>
        <v>8.9355541280453619E-4</v>
      </c>
      <c r="S6">
        <f t="shared" si="14"/>
        <v>99089.621343988183</v>
      </c>
      <c r="T6">
        <f t="shared" si="9"/>
        <v>88.542067504672545</v>
      </c>
      <c r="U6">
        <f t="shared" si="10"/>
        <v>495226.75155117922</v>
      </c>
      <c r="V6">
        <f t="shared" si="11"/>
        <v>6078641.1046873322</v>
      </c>
      <c r="W6">
        <f t="shared" si="12"/>
        <v>61.344881756944226</v>
      </c>
    </row>
    <row r="7" spans="1:23">
      <c r="A7">
        <v>2019</v>
      </c>
      <c r="B7" t="s">
        <v>23</v>
      </c>
      <c r="C7">
        <v>20</v>
      </c>
      <c r="D7">
        <v>5</v>
      </c>
      <c r="E7">
        <v>2.5</v>
      </c>
      <c r="F7">
        <v>217181</v>
      </c>
      <c r="G7">
        <v>171.51</v>
      </c>
      <c r="H7">
        <f t="shared" si="0"/>
        <v>7.8970996542054774E-4</v>
      </c>
      <c r="I7">
        <f t="shared" si="1"/>
        <v>3.940769664414201E-3</v>
      </c>
      <c r="J7">
        <f t="shared" si="13"/>
        <v>98835.457226350496</v>
      </c>
      <c r="K7">
        <f t="shared" si="2"/>
        <v>389.48777160610933</v>
      </c>
      <c r="L7">
        <f t="shared" si="3"/>
        <v>493203.56670273718</v>
      </c>
      <c r="M7">
        <f t="shared" si="4"/>
        <v>5496772.0802250495</v>
      </c>
      <c r="N7">
        <f t="shared" si="5"/>
        <v>55.615385758134138</v>
      </c>
      <c r="O7">
        <v>150</v>
      </c>
      <c r="P7">
        <f t="shared" si="6"/>
        <v>21.509999999999991</v>
      </c>
      <c r="Q7">
        <f t="shared" si="7"/>
        <v>9.9041813049944471E-5</v>
      </c>
      <c r="R7">
        <f t="shared" si="8"/>
        <v>4.9508647959333374E-4</v>
      </c>
      <c r="S7">
        <f t="shared" si="14"/>
        <v>99001.079276483506</v>
      </c>
      <c r="T7">
        <f t="shared" si="9"/>
        <v>49.01409581493477</v>
      </c>
      <c r="U7">
        <f t="shared" si="10"/>
        <v>494882.86114288028</v>
      </c>
      <c r="V7">
        <f t="shared" si="11"/>
        <v>5583414.353136153</v>
      </c>
      <c r="W7">
        <f t="shared" si="12"/>
        <v>56.397509945756973</v>
      </c>
    </row>
    <row r="8" spans="1:23">
      <c r="A8">
        <v>2019</v>
      </c>
      <c r="B8" t="s">
        <v>23</v>
      </c>
      <c r="C8">
        <v>25</v>
      </c>
      <c r="D8">
        <v>5</v>
      </c>
      <c r="E8">
        <v>2.5</v>
      </c>
      <c r="F8">
        <v>202703</v>
      </c>
      <c r="G8">
        <v>213.58</v>
      </c>
      <c r="H8">
        <f t="shared" si="0"/>
        <v>1.0536597879656443E-3</v>
      </c>
      <c r="I8">
        <f t="shared" si="1"/>
        <v>5.2544579123038407E-3</v>
      </c>
      <c r="J8">
        <f t="shared" si="13"/>
        <v>98445.96945474438</v>
      </c>
      <c r="K8">
        <f t="shared" si="2"/>
        <v>517.28020313590378</v>
      </c>
      <c r="L8">
        <f t="shared" si="3"/>
        <v>490936.64676588209</v>
      </c>
      <c r="M8">
        <f t="shared" si="4"/>
        <v>5003568.513522312</v>
      </c>
      <c r="N8">
        <f t="shared" si="5"/>
        <v>50.825529386679996</v>
      </c>
      <c r="O8">
        <v>143</v>
      </c>
      <c r="P8">
        <f t="shared" si="6"/>
        <v>70.580000000000013</v>
      </c>
      <c r="Q8">
        <f t="shared" si="7"/>
        <v>3.4819415598190461E-4</v>
      </c>
      <c r="R8">
        <f t="shared" si="8"/>
        <v>1.7394566083454978E-3</v>
      </c>
      <c r="S8">
        <f t="shared" si="14"/>
        <v>98952.065180668578</v>
      </c>
      <c r="T8">
        <f t="shared" si="9"/>
        <v>172.1228236879484</v>
      </c>
      <c r="U8">
        <f t="shared" si="10"/>
        <v>494330.018844123</v>
      </c>
      <c r="V8">
        <f t="shared" si="11"/>
        <v>5088531.4919932727</v>
      </c>
      <c r="W8">
        <f t="shared" si="12"/>
        <v>51.424207091610818</v>
      </c>
    </row>
    <row r="9" spans="1:23">
      <c r="A9">
        <v>2019</v>
      </c>
      <c r="B9" t="s">
        <v>23</v>
      </c>
      <c r="C9">
        <v>30</v>
      </c>
      <c r="D9">
        <v>5</v>
      </c>
      <c r="E9">
        <v>2.5</v>
      </c>
      <c r="F9">
        <v>202703</v>
      </c>
      <c r="G9">
        <v>267.14999999999998</v>
      </c>
      <c r="H9">
        <f t="shared" si="0"/>
        <v>1.3179380670241682E-3</v>
      </c>
      <c r="I9">
        <f t="shared" si="1"/>
        <v>6.5680496285419419E-3</v>
      </c>
      <c r="J9">
        <f t="shared" si="13"/>
        <v>97928.689251608477</v>
      </c>
      <c r="K9">
        <f t="shared" si="2"/>
        <v>643.20049106262627</v>
      </c>
      <c r="L9">
        <f t="shared" si="3"/>
        <v>488035.4450303858</v>
      </c>
      <c r="M9">
        <f t="shared" si="4"/>
        <v>4512631.8667564299</v>
      </c>
      <c r="N9">
        <f t="shared" si="5"/>
        <v>46.080795130037032</v>
      </c>
      <c r="O9">
        <v>111</v>
      </c>
      <c r="P9">
        <f t="shared" si="6"/>
        <v>156.14999999999998</v>
      </c>
      <c r="Q9">
        <f t="shared" si="7"/>
        <v>7.70338870169657E-4</v>
      </c>
      <c r="R9">
        <f t="shared" si="8"/>
        <v>3.8442908342037245E-3</v>
      </c>
      <c r="S9">
        <f t="shared" si="14"/>
        <v>98779.942356980624</v>
      </c>
      <c r="T9">
        <f t="shared" si="9"/>
        <v>379.73882700611284</v>
      </c>
      <c r="U9">
        <f t="shared" si="10"/>
        <v>492950.36471738783</v>
      </c>
      <c r="V9">
        <f t="shared" si="11"/>
        <v>4594201.4731491497</v>
      </c>
      <c r="W9">
        <f t="shared" si="12"/>
        <v>46.509456915313585</v>
      </c>
    </row>
    <row r="10" spans="1:23">
      <c r="A10">
        <v>2019</v>
      </c>
      <c r="B10" t="s">
        <v>23</v>
      </c>
      <c r="C10">
        <v>35</v>
      </c>
      <c r="D10">
        <v>5</v>
      </c>
      <c r="E10">
        <v>2.5</v>
      </c>
      <c r="F10">
        <v>188224</v>
      </c>
      <c r="G10">
        <v>322.81</v>
      </c>
      <c r="H10">
        <f t="shared" si="0"/>
        <v>1.7150310268616118E-3</v>
      </c>
      <c r="I10">
        <f t="shared" si="1"/>
        <v>8.5385454583447352E-3</v>
      </c>
      <c r="J10">
        <f t="shared" si="13"/>
        <v>97285.48876054585</v>
      </c>
      <c r="K10">
        <f t="shared" si="2"/>
        <v>830.6765682192065</v>
      </c>
      <c r="L10">
        <f t="shared" si="3"/>
        <v>484350.75238218124</v>
      </c>
      <c r="M10">
        <f t="shared" si="4"/>
        <v>4024596.4217260443</v>
      </c>
      <c r="N10">
        <f t="shared" si="5"/>
        <v>41.36892842911039</v>
      </c>
      <c r="O10">
        <v>100</v>
      </c>
      <c r="P10">
        <f t="shared" si="6"/>
        <v>222.81</v>
      </c>
      <c r="Q10">
        <f t="shared" si="7"/>
        <v>1.183749149948997E-3</v>
      </c>
      <c r="R10">
        <f t="shared" si="8"/>
        <v>5.9012816568826242E-3</v>
      </c>
      <c r="S10">
        <f t="shared" si="14"/>
        <v>98400.203529974504</v>
      </c>
      <c r="T10">
        <f t="shared" si="9"/>
        <v>580.68731612495537</v>
      </c>
      <c r="U10">
        <f t="shared" si="10"/>
        <v>490549.29935956013</v>
      </c>
      <c r="V10">
        <f t="shared" si="11"/>
        <v>4101251.1084317621</v>
      </c>
      <c r="W10">
        <f t="shared" si="12"/>
        <v>41.679294974043891</v>
      </c>
    </row>
    <row r="11" spans="1:23">
      <c r="A11">
        <v>2019</v>
      </c>
      <c r="B11" t="s">
        <v>23</v>
      </c>
      <c r="C11">
        <v>40</v>
      </c>
      <c r="D11">
        <v>5</v>
      </c>
      <c r="E11">
        <v>2.5</v>
      </c>
      <c r="F11">
        <v>173745</v>
      </c>
      <c r="G11">
        <v>413.27</v>
      </c>
      <c r="H11">
        <f t="shared" si="0"/>
        <v>2.3786008230452676E-3</v>
      </c>
      <c r="I11">
        <f t="shared" si="1"/>
        <v>1.1822700402953629E-2</v>
      </c>
      <c r="J11">
        <f t="shared" si="13"/>
        <v>96454.812192326644</v>
      </c>
      <c r="K11">
        <f t="shared" si="2"/>
        <v>1140.3563469730368</v>
      </c>
      <c r="L11">
        <f t="shared" si="3"/>
        <v>479423.17009420058</v>
      </c>
      <c r="M11">
        <f t="shared" si="4"/>
        <v>3540245.6693438631</v>
      </c>
      <c r="N11">
        <f t="shared" si="5"/>
        <v>36.7036707539772</v>
      </c>
      <c r="O11">
        <v>65</v>
      </c>
      <c r="P11">
        <f t="shared" si="6"/>
        <v>348.27</v>
      </c>
      <c r="Q11">
        <f t="shared" si="7"/>
        <v>2.0044893378226712E-3</v>
      </c>
      <c r="R11">
        <f t="shared" si="8"/>
        <v>9.9724724026064668E-3</v>
      </c>
      <c r="S11">
        <f t="shared" si="14"/>
        <v>97819.516213849551</v>
      </c>
      <c r="T11">
        <f t="shared" si="9"/>
        <v>975.50242587893047</v>
      </c>
      <c r="U11">
        <f t="shared" si="10"/>
        <v>486658.82500455045</v>
      </c>
      <c r="V11">
        <f t="shared" si="11"/>
        <v>3610701.8090722021</v>
      </c>
      <c r="W11">
        <f t="shared" si="12"/>
        <v>36.911875552304039</v>
      </c>
    </row>
    <row r="12" spans="1:23">
      <c r="A12">
        <v>2019</v>
      </c>
      <c r="B12" t="s">
        <v>23</v>
      </c>
      <c r="C12">
        <v>45</v>
      </c>
      <c r="D12">
        <v>5</v>
      </c>
      <c r="E12">
        <v>2.5</v>
      </c>
      <c r="F12">
        <v>159266</v>
      </c>
      <c r="G12">
        <v>591.24</v>
      </c>
      <c r="H12">
        <f t="shared" si="0"/>
        <v>3.7122800848894302E-3</v>
      </c>
      <c r="I12">
        <f t="shared" si="1"/>
        <v>1.8390721650125882E-2</v>
      </c>
      <c r="J12">
        <f t="shared" si="13"/>
        <v>95314.455845353601</v>
      </c>
      <c r="K12">
        <f t="shared" si="2"/>
        <v>1752.901626685112</v>
      </c>
      <c r="L12">
        <f t="shared" si="3"/>
        <v>472190.02516005526</v>
      </c>
      <c r="M12">
        <f t="shared" si="4"/>
        <v>3060822.4992496627</v>
      </c>
      <c r="N12">
        <f t="shared" si="5"/>
        <v>32.112888565568745</v>
      </c>
      <c r="O12">
        <v>70</v>
      </c>
      <c r="P12">
        <f t="shared" si="6"/>
        <v>521.24</v>
      </c>
      <c r="Q12">
        <f t="shared" si="7"/>
        <v>3.2727638039506237E-3</v>
      </c>
      <c r="R12">
        <f t="shared" si="8"/>
        <v>1.6231018296795584E-2</v>
      </c>
      <c r="S12">
        <f t="shared" si="14"/>
        <v>96844.013787970616</v>
      </c>
      <c r="T12">
        <f t="shared" si="9"/>
        <v>1571.8769597276748</v>
      </c>
      <c r="U12">
        <f t="shared" si="10"/>
        <v>480290.37654053391</v>
      </c>
      <c r="V12">
        <f t="shared" si="11"/>
        <v>3124042.9840676514</v>
      </c>
      <c r="W12">
        <f t="shared" si="12"/>
        <v>32.258503771925461</v>
      </c>
    </row>
    <row r="13" spans="1:23">
      <c r="A13">
        <v>2019</v>
      </c>
      <c r="B13" t="s">
        <v>23</v>
      </c>
      <c r="C13">
        <v>50</v>
      </c>
      <c r="D13">
        <v>5</v>
      </c>
      <c r="E13">
        <v>2.5</v>
      </c>
      <c r="F13">
        <v>144788</v>
      </c>
      <c r="G13">
        <v>849.13</v>
      </c>
      <c r="H13">
        <f t="shared" si="0"/>
        <v>5.8646434787413323E-3</v>
      </c>
      <c r="I13">
        <f t="shared" si="1"/>
        <v>2.8899504172003664E-2</v>
      </c>
      <c r="J13">
        <f t="shared" si="13"/>
        <v>93561.554218668491</v>
      </c>
      <c r="K13">
        <f t="shared" si="2"/>
        <v>2703.8825264815569</v>
      </c>
      <c r="L13">
        <f t="shared" si="3"/>
        <v>461048.06477713858</v>
      </c>
      <c r="M13">
        <f t="shared" si="4"/>
        <v>2588632.4740896076</v>
      </c>
      <c r="N13">
        <f t="shared" si="5"/>
        <v>27.667694233034592</v>
      </c>
      <c r="O13">
        <v>46</v>
      </c>
      <c r="P13">
        <f t="shared" si="6"/>
        <v>803.13</v>
      </c>
      <c r="Q13">
        <f t="shared" si="7"/>
        <v>5.5469375915131085E-3</v>
      </c>
      <c r="R13">
        <f t="shared" si="8"/>
        <v>2.7355342020115348E-2</v>
      </c>
      <c r="S13">
        <f t="shared" si="14"/>
        <v>95272.136828242947</v>
      </c>
      <c r="T13">
        <f t="shared" si="9"/>
        <v>2606.201887923813</v>
      </c>
      <c r="U13">
        <f t="shared" si="10"/>
        <v>469845.17942140519</v>
      </c>
      <c r="V13">
        <f t="shared" si="11"/>
        <v>2643752.6075271177</v>
      </c>
      <c r="W13">
        <f t="shared" si="12"/>
        <v>27.749483695251712</v>
      </c>
    </row>
    <row r="14" spans="1:23">
      <c r="A14">
        <v>2019</v>
      </c>
      <c r="B14" t="s">
        <v>23</v>
      </c>
      <c r="C14">
        <v>55</v>
      </c>
      <c r="D14">
        <v>5</v>
      </c>
      <c r="E14">
        <v>2.5</v>
      </c>
      <c r="F14">
        <v>130309</v>
      </c>
      <c r="G14">
        <v>1226.42</v>
      </c>
      <c r="H14">
        <f t="shared" si="0"/>
        <v>9.4116292811701422E-3</v>
      </c>
      <c r="I14">
        <f t="shared" si="1"/>
        <v>4.5976365144755331E-2</v>
      </c>
      <c r="J14">
        <f t="shared" si="13"/>
        <v>90857.671692186937</v>
      </c>
      <c r="K14">
        <f t="shared" si="2"/>
        <v>4177.3054899222871</v>
      </c>
      <c r="L14">
        <f t="shared" si="3"/>
        <v>443845.09473612899</v>
      </c>
      <c r="M14">
        <f t="shared" si="4"/>
        <v>2127584.409312469</v>
      </c>
      <c r="N14">
        <f t="shared" si="5"/>
        <v>23.416673239442311</v>
      </c>
      <c r="O14">
        <v>33</v>
      </c>
      <c r="P14">
        <f t="shared" si="6"/>
        <v>1193.42</v>
      </c>
      <c r="Q14">
        <f t="shared" si="7"/>
        <v>9.1583850693351954E-3</v>
      </c>
      <c r="R14">
        <f t="shared" si="8"/>
        <v>4.4766943088717259E-2</v>
      </c>
      <c r="S14">
        <f t="shared" si="14"/>
        <v>92665.93494031913</v>
      </c>
      <c r="T14">
        <f t="shared" si="9"/>
        <v>4148.3706357360425</v>
      </c>
      <c r="U14">
        <f t="shared" si="10"/>
        <v>452958.74811225559</v>
      </c>
      <c r="V14">
        <f t="shared" si="11"/>
        <v>2173907.4281057124</v>
      </c>
      <c r="W14">
        <f t="shared" si="12"/>
        <v>23.459617922225711</v>
      </c>
    </row>
    <row r="15" spans="1:23">
      <c r="A15">
        <v>2019</v>
      </c>
      <c r="B15" t="s">
        <v>23</v>
      </c>
      <c r="C15">
        <v>60</v>
      </c>
      <c r="D15">
        <v>5</v>
      </c>
      <c r="E15">
        <v>2.5</v>
      </c>
      <c r="F15">
        <v>115830</v>
      </c>
      <c r="G15">
        <v>1736.45</v>
      </c>
      <c r="H15">
        <f t="shared" si="0"/>
        <v>1.4991366658033325E-2</v>
      </c>
      <c r="I15">
        <f t="shared" si="1"/>
        <v>7.2249053173131239E-2</v>
      </c>
      <c r="J15">
        <f t="shared" si="13"/>
        <v>86680.366202264646</v>
      </c>
      <c r="K15">
        <f t="shared" si="2"/>
        <v>6262.5743868139061</v>
      </c>
      <c r="L15">
        <f t="shared" si="3"/>
        <v>417745.39504428848</v>
      </c>
      <c r="M15">
        <f t="shared" si="4"/>
        <v>1683739.3145763399</v>
      </c>
      <c r="N15">
        <f t="shared" si="5"/>
        <v>19.424690830763357</v>
      </c>
      <c r="O15">
        <v>12</v>
      </c>
      <c r="P15">
        <f t="shared" si="6"/>
        <v>1724.45</v>
      </c>
      <c r="Q15">
        <f t="shared" si="7"/>
        <v>1.4887766554433222E-2</v>
      </c>
      <c r="R15">
        <f t="shared" si="8"/>
        <v>7.1767681549511048E-2</v>
      </c>
      <c r="S15">
        <f t="shared" si="14"/>
        <v>88517.564304583095</v>
      </c>
      <c r="T15">
        <f t="shared" si="9"/>
        <v>6352.7003665496859</v>
      </c>
      <c r="U15">
        <f t="shared" si="10"/>
        <v>426706.07060654124</v>
      </c>
      <c r="V15">
        <f t="shared" si="11"/>
        <v>1720948.6799934567</v>
      </c>
      <c r="W15">
        <f t="shared" si="12"/>
        <v>19.441889228580511</v>
      </c>
    </row>
    <row r="16" spans="1:23">
      <c r="A16">
        <v>2019</v>
      </c>
      <c r="B16" t="s">
        <v>23</v>
      </c>
      <c r="C16">
        <v>65</v>
      </c>
      <c r="D16">
        <v>5</v>
      </c>
      <c r="E16">
        <v>2.5</v>
      </c>
      <c r="F16">
        <v>101351</v>
      </c>
      <c r="G16">
        <v>2397.16</v>
      </c>
      <c r="H16">
        <f t="shared" si="0"/>
        <v>2.3652060660476953E-2</v>
      </c>
      <c r="I16">
        <f t="shared" si="1"/>
        <v>0.11165795168612282</v>
      </c>
      <c r="J16">
        <f t="shared" si="13"/>
        <v>80417.791815450735</v>
      </c>
      <c r="K16">
        <f t="shared" si="2"/>
        <v>8979.2859132342819</v>
      </c>
      <c r="L16">
        <f t="shared" si="3"/>
        <v>379640.7442941679</v>
      </c>
      <c r="M16">
        <f t="shared" si="4"/>
        <v>1265993.9195320513</v>
      </c>
      <c r="N16">
        <f t="shared" si="5"/>
        <v>15.742709305390488</v>
      </c>
      <c r="O16">
        <v>7</v>
      </c>
      <c r="P16">
        <f t="shared" si="6"/>
        <v>2390.16</v>
      </c>
      <c r="Q16">
        <f t="shared" si="7"/>
        <v>2.3582993754378348E-2</v>
      </c>
      <c r="R16">
        <f t="shared" si="8"/>
        <v>0.11135004994111419</v>
      </c>
      <c r="S16">
        <f t="shared" si="14"/>
        <v>82164.863938033406</v>
      </c>
      <c r="T16">
        <f t="shared" si="9"/>
        <v>9149.0617029048717</v>
      </c>
      <c r="U16">
        <f t="shared" si="10"/>
        <v>387951.66543290485</v>
      </c>
      <c r="V16">
        <f t="shared" si="11"/>
        <v>1294242.6093869156</v>
      </c>
      <c r="W16">
        <f t="shared" si="12"/>
        <v>15.751776944011</v>
      </c>
    </row>
    <row r="17" spans="1:23">
      <c r="A17">
        <v>2019</v>
      </c>
      <c r="B17" t="s">
        <v>23</v>
      </c>
      <c r="C17">
        <v>70</v>
      </c>
      <c r="D17">
        <v>5</v>
      </c>
      <c r="E17">
        <v>2.5</v>
      </c>
      <c r="F17">
        <v>86873</v>
      </c>
      <c r="G17">
        <v>3244.04</v>
      </c>
      <c r="H17">
        <f t="shared" si="0"/>
        <v>3.7342327305376816E-2</v>
      </c>
      <c r="I17">
        <f t="shared" si="1"/>
        <v>0.17076932633278974</v>
      </c>
      <c r="J17">
        <f t="shared" si="13"/>
        <v>71438.50590221645</v>
      </c>
      <c r="K17">
        <f t="shared" si="2"/>
        <v>12199.505527142526</v>
      </c>
      <c r="L17">
        <f t="shared" si="3"/>
        <v>326693.76569322596</v>
      </c>
      <c r="M17">
        <f t="shared" si="4"/>
        <v>886353.17523788335</v>
      </c>
      <c r="N17">
        <f t="shared" si="5"/>
        <v>12.40721882469246</v>
      </c>
      <c r="O17">
        <v>7</v>
      </c>
      <c r="P17">
        <f t="shared" si="6"/>
        <v>3237.04</v>
      </c>
      <c r="Q17">
        <f t="shared" si="7"/>
        <v>3.7261749910789316E-2</v>
      </c>
      <c r="R17">
        <f t="shared" si="8"/>
        <v>0.17043224072716859</v>
      </c>
      <c r="S17">
        <f t="shared" si="14"/>
        <v>73015.802235128533</v>
      </c>
      <c r="T17">
        <f t="shared" si="9"/>
        <v>12444.24678342476</v>
      </c>
      <c r="U17">
        <f t="shared" si="10"/>
        <v>333968.39421708073</v>
      </c>
      <c r="V17">
        <f t="shared" si="11"/>
        <v>906290.94395401073</v>
      </c>
      <c r="W17">
        <f t="shared" si="12"/>
        <v>12.412257569060664</v>
      </c>
    </row>
    <row r="18" spans="1:23">
      <c r="A18">
        <v>2019</v>
      </c>
      <c r="B18" t="s">
        <v>23</v>
      </c>
      <c r="C18">
        <v>75</v>
      </c>
      <c r="D18">
        <v>5</v>
      </c>
      <c r="E18">
        <v>2.5</v>
      </c>
      <c r="F18">
        <v>72394</v>
      </c>
      <c r="G18">
        <v>4379.16</v>
      </c>
      <c r="H18">
        <f t="shared" si="0"/>
        <v>6.049064839627593E-2</v>
      </c>
      <c r="I18">
        <f t="shared" si="1"/>
        <v>0.2627225921175303</v>
      </c>
      <c r="J18">
        <f t="shared" si="13"/>
        <v>59239.000375073927</v>
      </c>
      <c r="K18">
        <f t="shared" si="2"/>
        <v>15563.423732990772</v>
      </c>
      <c r="L18">
        <f t="shared" si="3"/>
        <v>257286.44254289271</v>
      </c>
      <c r="M18">
        <f t="shared" si="4"/>
        <v>559659.40954465745</v>
      </c>
      <c r="N18">
        <f t="shared" si="5"/>
        <v>9.447482334292495</v>
      </c>
      <c r="O18">
        <v>2</v>
      </c>
      <c r="P18">
        <f t="shared" si="6"/>
        <v>4377.16</v>
      </c>
      <c r="Q18">
        <f t="shared" si="7"/>
        <v>6.0463021797386524E-2</v>
      </c>
      <c r="R18">
        <f t="shared" si="8"/>
        <v>0.2626183599341948</v>
      </c>
      <c r="S18">
        <f t="shared" si="14"/>
        <v>60571.555451703774</v>
      </c>
      <c r="T18">
        <f t="shared" si="9"/>
        <v>15907.202551389581</v>
      </c>
      <c r="U18">
        <f t="shared" si="10"/>
        <v>263089.77088004496</v>
      </c>
      <c r="V18">
        <f t="shared" si="11"/>
        <v>572322.54973693006</v>
      </c>
      <c r="W18">
        <f t="shared" si="12"/>
        <v>9.4487015475979756</v>
      </c>
    </row>
    <row r="19" spans="1:23">
      <c r="A19">
        <v>2019</v>
      </c>
      <c r="B19" t="s">
        <v>23</v>
      </c>
      <c r="C19">
        <v>80</v>
      </c>
      <c r="D19">
        <v>5</v>
      </c>
      <c r="E19">
        <v>2.5</v>
      </c>
      <c r="F19">
        <v>57915</v>
      </c>
      <c r="G19">
        <v>5684.85</v>
      </c>
      <c r="H19">
        <f t="shared" si="0"/>
        <v>9.815850815850817E-2</v>
      </c>
      <c r="I19">
        <f t="shared" si="1"/>
        <v>0.39408544288989755</v>
      </c>
      <c r="J19">
        <f t="shared" si="13"/>
        <v>43675.576642083157</v>
      </c>
      <c r="K19">
        <f t="shared" si="2"/>
        <v>17211.908964467006</v>
      </c>
      <c r="L19">
        <f t="shared" si="3"/>
        <v>175348.11079924827</v>
      </c>
      <c r="M19">
        <f t="shared" si="4"/>
        <v>302372.96700176469</v>
      </c>
      <c r="N19">
        <f t="shared" si="5"/>
        <v>6.92315912574389</v>
      </c>
      <c r="O19">
        <v>0</v>
      </c>
      <c r="P19">
        <f t="shared" si="6"/>
        <v>5684.85</v>
      </c>
      <c r="Q19">
        <f t="shared" si="7"/>
        <v>9.815850815850817E-2</v>
      </c>
      <c r="R19">
        <f t="shared" si="8"/>
        <v>0.39408544288989755</v>
      </c>
      <c r="S19">
        <f t="shared" si="14"/>
        <v>44664.352900314196</v>
      </c>
      <c r="T19">
        <f t="shared" si="9"/>
        <v>17601.571294111</v>
      </c>
      <c r="U19">
        <f t="shared" si="10"/>
        <v>179317.83626629348</v>
      </c>
      <c r="V19">
        <f t="shared" si="11"/>
        <v>309232.77885688504</v>
      </c>
      <c r="W19">
        <f t="shared" si="12"/>
        <v>6.9234805561172639</v>
      </c>
    </row>
    <row r="20" spans="1:23">
      <c r="A20">
        <v>2019</v>
      </c>
      <c r="B20" t="s">
        <v>23</v>
      </c>
      <c r="C20">
        <v>85</v>
      </c>
      <c r="D20">
        <v>999</v>
      </c>
      <c r="F20">
        <v>43436</v>
      </c>
      <c r="G20">
        <v>9049.2199999999993</v>
      </c>
      <c r="H20">
        <f t="shared" si="0"/>
        <v>0.20833456119348004</v>
      </c>
      <c r="I20">
        <f t="shared" si="1"/>
        <v>0.9952181989982618</v>
      </c>
      <c r="J20">
        <f t="shared" si="13"/>
        <v>26463.667677616151</v>
      </c>
      <c r="K20">
        <f t="shared" si="2"/>
        <v>26337.123685005659</v>
      </c>
      <c r="L20">
        <f>J20/H20</f>
        <v>127024.85620251638</v>
      </c>
      <c r="M20">
        <f>L20</f>
        <v>127024.85620251638</v>
      </c>
      <c r="N20">
        <f t="shared" si="5"/>
        <v>4.7999717102689523</v>
      </c>
      <c r="O20">
        <v>1</v>
      </c>
      <c r="P20">
        <f t="shared" si="6"/>
        <v>9048.2199999999993</v>
      </c>
      <c r="Q20">
        <f t="shared" si="7"/>
        <v>0.20831153881572886</v>
      </c>
      <c r="R20">
        <f>1</f>
        <v>1</v>
      </c>
      <c r="S20">
        <f t="shared" si="14"/>
        <v>27062.781606203196</v>
      </c>
      <c r="T20">
        <f t="shared" si="9"/>
        <v>27062.781606203196</v>
      </c>
      <c r="U20">
        <f>S20/Q20</f>
        <v>129914.94259059154</v>
      </c>
      <c r="V20">
        <f>U20</f>
        <v>129914.94259059154</v>
      </c>
      <c r="W20">
        <f t="shared" si="12"/>
        <v>4.8005021982224134</v>
      </c>
    </row>
    <row r="21" spans="1:23">
      <c r="A21">
        <v>2019</v>
      </c>
      <c r="B21" t="s">
        <v>24</v>
      </c>
      <c r="C21">
        <v>0</v>
      </c>
      <c r="D21">
        <v>1</v>
      </c>
      <c r="E21">
        <v>0.1</v>
      </c>
      <c r="F21">
        <v>43610</v>
      </c>
      <c r="G21">
        <v>160.79</v>
      </c>
      <c r="H21">
        <f t="shared" si="0"/>
        <v>3.6869983948635632E-3</v>
      </c>
      <c r="I21">
        <f t="shared" ref="I21:I36" si="15">(D21*H21)/(1+(D21-E21)*H21)</f>
        <v>3.6748042970732907E-3</v>
      </c>
      <c r="J21">
        <f>100000</f>
        <v>100000</v>
      </c>
      <c r="K21">
        <f t="shared" si="2"/>
        <v>367.48042970732905</v>
      </c>
      <c r="L21">
        <f t="shared" ref="L21:L36" si="16">D21*J22+E21*K21</f>
        <v>99669.267613263408</v>
      </c>
      <c r="M21">
        <f t="shared" ref="M21:M36" si="17">L21+M22</f>
        <v>9323954.8800154217</v>
      </c>
      <c r="N21">
        <f t="shared" si="5"/>
        <v>93.239548800154211</v>
      </c>
      <c r="O21">
        <v>0</v>
      </c>
      <c r="P21">
        <f t="shared" si="6"/>
        <v>160.79</v>
      </c>
      <c r="Q21">
        <f t="shared" si="7"/>
        <v>3.6869983948635632E-3</v>
      </c>
      <c r="R21">
        <f t="shared" ref="R21:R36" si="18">(D21*Q21)/(1+(D21-E21)*Q21)</f>
        <v>3.6748042970732907E-3</v>
      </c>
      <c r="S21">
        <f>100000</f>
        <v>100000</v>
      </c>
      <c r="T21">
        <f t="shared" si="9"/>
        <v>367.48042970732905</v>
      </c>
      <c r="U21">
        <f t="shared" ref="U21:U36" si="19">D21*S22+E21*T21</f>
        <v>99669.267613263408</v>
      </c>
      <c r="V21">
        <f t="shared" ref="V21:V36" si="20">U21+V22</f>
        <v>9338638.0747732259</v>
      </c>
      <c r="W21">
        <f t="shared" si="12"/>
        <v>93.386380747732261</v>
      </c>
    </row>
    <row r="22" spans="1:23">
      <c r="A22">
        <v>2019</v>
      </c>
      <c r="B22" t="s">
        <v>24</v>
      </c>
      <c r="C22">
        <v>1</v>
      </c>
      <c r="D22">
        <v>4</v>
      </c>
      <c r="E22">
        <v>2</v>
      </c>
      <c r="F22">
        <v>174441</v>
      </c>
      <c r="G22">
        <v>37.97</v>
      </c>
      <c r="H22">
        <f t="shared" si="0"/>
        <v>2.1766671826004206E-4</v>
      </c>
      <c r="I22">
        <f t="shared" si="15"/>
        <v>8.7028800757107006E-4</v>
      </c>
      <c r="J22">
        <f t="shared" ref="J22:J37" si="21">J21-K21</f>
        <v>99632.519570292672</v>
      </c>
      <c r="K22">
        <f t="shared" si="2"/>
        <v>86.708986946115658</v>
      </c>
      <c r="L22">
        <f t="shared" si="16"/>
        <v>398356.66030727845</v>
      </c>
      <c r="M22">
        <f t="shared" si="17"/>
        <v>9224285.6124021579</v>
      </c>
      <c r="N22">
        <f t="shared" si="5"/>
        <v>92.583080827281961</v>
      </c>
      <c r="O22">
        <v>2</v>
      </c>
      <c r="P22">
        <f t="shared" si="6"/>
        <v>35.97</v>
      </c>
      <c r="Q22">
        <f t="shared" si="7"/>
        <v>2.0620152372435377E-4</v>
      </c>
      <c r="R22">
        <f t="shared" si="18"/>
        <v>8.2446608257244426E-4</v>
      </c>
      <c r="S22">
        <f t="shared" ref="S22:S37" si="22">S21-T21</f>
        <v>99632.519570292672</v>
      </c>
      <c r="T22">
        <f t="shared" si="9"/>
        <v>82.143633106941593</v>
      </c>
      <c r="U22">
        <f t="shared" si="19"/>
        <v>398365.79101495678</v>
      </c>
      <c r="V22">
        <f t="shared" si="20"/>
        <v>9238968.8071599621</v>
      </c>
      <c r="W22">
        <f t="shared" si="12"/>
        <v>92.730454343691378</v>
      </c>
    </row>
    <row r="23" spans="1:23">
      <c r="A23">
        <v>2019</v>
      </c>
      <c r="B23" t="s">
        <v>24</v>
      </c>
      <c r="C23">
        <v>5</v>
      </c>
      <c r="D23">
        <v>5</v>
      </c>
      <c r="E23">
        <v>2.5</v>
      </c>
      <c r="F23">
        <v>232589</v>
      </c>
      <c r="G23">
        <v>20.25</v>
      </c>
      <c r="H23">
        <f t="shared" si="0"/>
        <v>8.7063446680625474E-5</v>
      </c>
      <c r="I23">
        <f t="shared" si="15"/>
        <v>4.3522250347506364E-4</v>
      </c>
      <c r="J23">
        <f t="shared" si="21"/>
        <v>99545.810583346552</v>
      </c>
      <c r="K23">
        <f t="shared" si="2"/>
        <v>43.324576892538573</v>
      </c>
      <c r="L23">
        <f t="shared" si="16"/>
        <v>497620.74147450138</v>
      </c>
      <c r="M23">
        <f t="shared" si="17"/>
        <v>8825928.952094879</v>
      </c>
      <c r="N23">
        <f t="shared" si="5"/>
        <v>88.661982863710861</v>
      </c>
      <c r="O23">
        <v>2</v>
      </c>
      <c r="P23">
        <f t="shared" si="6"/>
        <v>18.25</v>
      </c>
      <c r="Q23">
        <f t="shared" si="7"/>
        <v>7.8464587749205682E-5</v>
      </c>
      <c r="R23">
        <f t="shared" si="18"/>
        <v>3.9224599519525519E-4</v>
      </c>
      <c r="S23">
        <f t="shared" si="22"/>
        <v>99550.37593718573</v>
      </c>
      <c r="T23">
        <f t="shared" si="9"/>
        <v>39.048236281543204</v>
      </c>
      <c r="U23">
        <f t="shared" si="19"/>
        <v>497654.25909522484</v>
      </c>
      <c r="V23">
        <f t="shared" si="20"/>
        <v>8840603.0161450058</v>
      </c>
      <c r="W23">
        <f t="shared" si="12"/>
        <v>88.805320250354924</v>
      </c>
    </row>
    <row r="24" spans="1:23">
      <c r="A24">
        <v>2019</v>
      </c>
      <c r="B24" t="s">
        <v>24</v>
      </c>
      <c r="C24">
        <v>10</v>
      </c>
      <c r="D24">
        <v>5</v>
      </c>
      <c r="E24">
        <v>2.5</v>
      </c>
      <c r="F24">
        <v>232589</v>
      </c>
      <c r="G24">
        <v>24.75</v>
      </c>
      <c r="H24">
        <f t="shared" si="0"/>
        <v>1.0641087927632003E-4</v>
      </c>
      <c r="I24">
        <f t="shared" si="15"/>
        <v>5.3191289308497116E-4</v>
      </c>
      <c r="J24">
        <f t="shared" si="21"/>
        <v>99502.486006454012</v>
      </c>
      <c r="K24">
        <f t="shared" si="2"/>
        <v>52.926655200839811</v>
      </c>
      <c r="L24">
        <f t="shared" si="16"/>
        <v>497380.11339426803</v>
      </c>
      <c r="M24">
        <f t="shared" si="17"/>
        <v>8328308.2106203781</v>
      </c>
      <c r="N24">
        <f t="shared" si="5"/>
        <v>83.699498825387948</v>
      </c>
      <c r="O24">
        <v>3</v>
      </c>
      <c r="P24">
        <f t="shared" si="6"/>
        <v>21.75</v>
      </c>
      <c r="Q24">
        <f t="shared" si="7"/>
        <v>9.3512590879190325E-5</v>
      </c>
      <c r="R24">
        <f t="shared" si="18"/>
        <v>4.6745367238589961E-4</v>
      </c>
      <c r="S24">
        <f t="shared" si="22"/>
        <v>99511.327700904192</v>
      </c>
      <c r="T24">
        <f t="shared" si="9"/>
        <v>46.516935577784366</v>
      </c>
      <c r="U24">
        <f t="shared" si="19"/>
        <v>497440.34616557643</v>
      </c>
      <c r="V24">
        <f t="shared" si="20"/>
        <v>8342948.7570497813</v>
      </c>
      <c r="W24">
        <f t="shared" si="12"/>
        <v>83.839186450468532</v>
      </c>
    </row>
    <row r="25" spans="1:23">
      <c r="A25">
        <v>2019</v>
      </c>
      <c r="B25" t="s">
        <v>24</v>
      </c>
      <c r="C25">
        <v>15</v>
      </c>
      <c r="D25">
        <v>5</v>
      </c>
      <c r="E25">
        <v>2.5</v>
      </c>
      <c r="F25">
        <v>218052</v>
      </c>
      <c r="G25">
        <v>37.97</v>
      </c>
      <c r="H25">
        <f t="shared" si="0"/>
        <v>1.7413277566818923E-4</v>
      </c>
      <c r="I25">
        <f t="shared" si="15"/>
        <v>8.7028501547752718E-4</v>
      </c>
      <c r="J25">
        <f t="shared" si="21"/>
        <v>99449.559351253178</v>
      </c>
      <c r="K25">
        <f t="shared" si="2"/>
        <v>86.549461299238629</v>
      </c>
      <c r="L25">
        <f t="shared" si="16"/>
        <v>497031.42310301779</v>
      </c>
      <c r="M25">
        <f t="shared" si="17"/>
        <v>7830928.0972261103</v>
      </c>
      <c r="N25">
        <f t="shared" si="5"/>
        <v>78.742712871833675</v>
      </c>
      <c r="O25">
        <v>7</v>
      </c>
      <c r="P25">
        <f t="shared" si="6"/>
        <v>30.97</v>
      </c>
      <c r="Q25">
        <f t="shared" si="7"/>
        <v>1.4203034138645827E-4</v>
      </c>
      <c r="R25">
        <f t="shared" si="18"/>
        <v>7.0989963871220037E-4</v>
      </c>
      <c r="S25">
        <f t="shared" si="22"/>
        <v>99464.810765326401</v>
      </c>
      <c r="T25">
        <f t="shared" si="9"/>
        <v>70.610033226882592</v>
      </c>
      <c r="U25">
        <f t="shared" si="19"/>
        <v>497147.52874356479</v>
      </c>
      <c r="V25">
        <f t="shared" si="20"/>
        <v>7845508.4108842053</v>
      </c>
      <c r="W25">
        <f t="shared" si="12"/>
        <v>78.87722653386038</v>
      </c>
    </row>
    <row r="26" spans="1:23">
      <c r="A26">
        <v>2019</v>
      </c>
      <c r="B26" t="s">
        <v>24</v>
      </c>
      <c r="C26">
        <v>20</v>
      </c>
      <c r="D26">
        <v>5</v>
      </c>
      <c r="E26">
        <v>2.5</v>
      </c>
      <c r="F26">
        <v>218052</v>
      </c>
      <c r="G26">
        <v>50.64</v>
      </c>
      <c r="H26">
        <f t="shared" si="0"/>
        <v>2.3223818171812227E-4</v>
      </c>
      <c r="I26">
        <f t="shared" si="15"/>
        <v>1.1605171176274852E-3</v>
      </c>
      <c r="J26">
        <f t="shared" si="21"/>
        <v>99363.009889953944</v>
      </c>
      <c r="K26">
        <f t="shared" si="2"/>
        <v>115.31247383628066</v>
      </c>
      <c r="L26">
        <f t="shared" si="16"/>
        <v>496526.76826517901</v>
      </c>
      <c r="M26">
        <f t="shared" si="17"/>
        <v>7333896.6741230926</v>
      </c>
      <c r="N26">
        <f t="shared" si="5"/>
        <v>73.809123558610949</v>
      </c>
      <c r="O26">
        <v>17</v>
      </c>
      <c r="P26">
        <f t="shared" si="6"/>
        <v>33.64</v>
      </c>
      <c r="Q26">
        <f t="shared" si="7"/>
        <v>1.5427512703391851E-4</v>
      </c>
      <c r="R26">
        <f t="shared" si="18"/>
        <v>7.7107823968614085E-4</v>
      </c>
      <c r="S26">
        <f t="shared" si="22"/>
        <v>99394.200732099518</v>
      </c>
      <c r="T26">
        <f t="shared" si="9"/>
        <v>76.640705335518234</v>
      </c>
      <c r="U26">
        <f t="shared" si="19"/>
        <v>496779.40189715876</v>
      </c>
      <c r="V26">
        <f t="shared" si="20"/>
        <v>7348360.8821406402</v>
      </c>
      <c r="W26">
        <f t="shared" si="12"/>
        <v>73.931485217602585</v>
      </c>
    </row>
    <row r="27" spans="1:23">
      <c r="A27">
        <v>2019</v>
      </c>
      <c r="B27" t="s">
        <v>24</v>
      </c>
      <c r="C27">
        <v>25</v>
      </c>
      <c r="D27">
        <v>5</v>
      </c>
      <c r="E27">
        <v>2.5</v>
      </c>
      <c r="F27">
        <v>203515</v>
      </c>
      <c r="G27">
        <v>63.03</v>
      </c>
      <c r="H27">
        <f t="shared" si="0"/>
        <v>3.0970690121121295E-4</v>
      </c>
      <c r="I27">
        <f t="shared" si="15"/>
        <v>1.5473364541102308E-3</v>
      </c>
      <c r="J27">
        <f t="shared" si="21"/>
        <v>99247.697416117662</v>
      </c>
      <c r="K27">
        <f t="shared" si="2"/>
        <v>153.56958019846061</v>
      </c>
      <c r="L27">
        <f t="shared" si="16"/>
        <v>495854.56313009217</v>
      </c>
      <c r="M27">
        <f t="shared" si="17"/>
        <v>6837369.9058579132</v>
      </c>
      <c r="N27">
        <f t="shared" si="5"/>
        <v>68.891975167854483</v>
      </c>
      <c r="O27">
        <v>16</v>
      </c>
      <c r="P27">
        <f t="shared" si="6"/>
        <v>47.03</v>
      </c>
      <c r="Q27">
        <f t="shared" si="7"/>
        <v>2.3108861754661818E-4</v>
      </c>
      <c r="R27">
        <f t="shared" si="18"/>
        <v>1.1547759487891365E-3</v>
      </c>
      <c r="S27">
        <f t="shared" si="22"/>
        <v>99317.560026763997</v>
      </c>
      <c r="T27">
        <f t="shared" si="9"/>
        <v>114.68952961132841</v>
      </c>
      <c r="U27">
        <f t="shared" si="19"/>
        <v>496301.07630979171</v>
      </c>
      <c r="V27">
        <f t="shared" si="20"/>
        <v>6851581.4802434817</v>
      </c>
      <c r="W27">
        <f t="shared" si="12"/>
        <v>68.986606984677479</v>
      </c>
    </row>
    <row r="28" spans="1:23">
      <c r="A28">
        <v>2019</v>
      </c>
      <c r="B28" t="s">
        <v>24</v>
      </c>
      <c r="C28">
        <v>30</v>
      </c>
      <c r="D28">
        <v>5</v>
      </c>
      <c r="E28">
        <v>2.5</v>
      </c>
      <c r="F28">
        <v>203515</v>
      </c>
      <c r="G28">
        <v>86.69</v>
      </c>
      <c r="H28">
        <f t="shared" si="0"/>
        <v>4.2596368818023238E-4</v>
      </c>
      <c r="I28">
        <f t="shared" si="15"/>
        <v>2.127552790317757E-3</v>
      </c>
      <c r="J28">
        <f t="shared" si="21"/>
        <v>99094.127835919207</v>
      </c>
      <c r="K28">
        <f t="shared" si="2"/>
        <v>210.82798818141441</v>
      </c>
      <c r="L28">
        <f t="shared" si="16"/>
        <v>494943.56920914247</v>
      </c>
      <c r="M28">
        <f t="shared" si="17"/>
        <v>6341515.3427278213</v>
      </c>
      <c r="N28">
        <f t="shared" si="5"/>
        <v>63.994865096629638</v>
      </c>
      <c r="O28">
        <v>12</v>
      </c>
      <c r="P28">
        <f t="shared" si="6"/>
        <v>74.69</v>
      </c>
      <c r="Q28">
        <f t="shared" si="7"/>
        <v>3.6699997543178636E-4</v>
      </c>
      <c r="R28">
        <f t="shared" si="18"/>
        <v>1.8333178081825277E-3</v>
      </c>
      <c r="S28">
        <f t="shared" si="22"/>
        <v>99202.870497152675</v>
      </c>
      <c r="T28">
        <f t="shared" si="9"/>
        <v>181.8703891052551</v>
      </c>
      <c r="U28">
        <f t="shared" si="19"/>
        <v>495559.67651300022</v>
      </c>
      <c r="V28">
        <f t="shared" si="20"/>
        <v>6355280.4039336899</v>
      </c>
      <c r="W28">
        <f t="shared" si="12"/>
        <v>64.063472882229746</v>
      </c>
    </row>
    <row r="29" spans="1:23">
      <c r="A29">
        <v>2019</v>
      </c>
      <c r="B29" t="s">
        <v>24</v>
      </c>
      <c r="C29">
        <v>35</v>
      </c>
      <c r="D29">
        <v>5</v>
      </c>
      <c r="E29">
        <v>2.5</v>
      </c>
      <c r="F29">
        <v>188978</v>
      </c>
      <c r="G29">
        <v>117.14</v>
      </c>
      <c r="H29">
        <f t="shared" si="0"/>
        <v>6.198605128639313E-4</v>
      </c>
      <c r="I29">
        <f t="shared" si="15"/>
        <v>3.0945071573356387E-3</v>
      </c>
      <c r="J29">
        <f t="shared" si="21"/>
        <v>98883.299847737799</v>
      </c>
      <c r="K29">
        <f t="shared" si="2"/>
        <v>305.99507911979072</v>
      </c>
      <c r="L29">
        <f t="shared" si="16"/>
        <v>493651.51154088951</v>
      </c>
      <c r="M29">
        <f t="shared" si="17"/>
        <v>5846571.7735186787</v>
      </c>
      <c r="N29">
        <f t="shared" si="5"/>
        <v>59.125977617265306</v>
      </c>
      <c r="O29">
        <v>7</v>
      </c>
      <c r="P29">
        <f t="shared" si="6"/>
        <v>110.14</v>
      </c>
      <c r="Q29">
        <f t="shared" si="7"/>
        <v>5.8281916413550786E-4</v>
      </c>
      <c r="R29">
        <f t="shared" si="18"/>
        <v>2.9098560210426921E-3</v>
      </c>
      <c r="S29">
        <f t="shared" si="22"/>
        <v>99021.000108047418</v>
      </c>
      <c r="T29">
        <f t="shared" si="9"/>
        <v>288.13685337407082</v>
      </c>
      <c r="U29">
        <f t="shared" si="19"/>
        <v>494384.65840680187</v>
      </c>
      <c r="V29">
        <f t="shared" si="20"/>
        <v>5859720.7274206895</v>
      </c>
      <c r="W29">
        <f t="shared" si="12"/>
        <v>59.176545591610029</v>
      </c>
    </row>
    <row r="30" spans="1:23">
      <c r="A30">
        <v>2019</v>
      </c>
      <c r="B30" t="s">
        <v>24</v>
      </c>
      <c r="C30">
        <v>40</v>
      </c>
      <c r="D30">
        <v>5</v>
      </c>
      <c r="E30">
        <v>2.5</v>
      </c>
      <c r="F30">
        <v>174441</v>
      </c>
      <c r="G30">
        <v>169.1</v>
      </c>
      <c r="H30">
        <f t="shared" si="0"/>
        <v>9.6938219799244446E-4</v>
      </c>
      <c r="I30">
        <f t="shared" si="15"/>
        <v>4.8351931146392553E-3</v>
      </c>
      <c r="J30">
        <f t="shared" si="21"/>
        <v>98577.304768618007</v>
      </c>
      <c r="K30">
        <f t="shared" si="2"/>
        <v>476.64030527691722</v>
      </c>
      <c r="L30">
        <f t="shared" si="16"/>
        <v>491694.92307989777</v>
      </c>
      <c r="M30">
        <f t="shared" si="17"/>
        <v>5352920.261977789</v>
      </c>
      <c r="N30">
        <f t="shared" si="5"/>
        <v>54.301751042415255</v>
      </c>
      <c r="O30">
        <v>6</v>
      </c>
      <c r="P30">
        <f t="shared" si="6"/>
        <v>163.1</v>
      </c>
      <c r="Q30">
        <f t="shared" si="7"/>
        <v>9.3498661438537955E-4</v>
      </c>
      <c r="R30">
        <f t="shared" si="18"/>
        <v>4.6640310554121774E-3</v>
      </c>
      <c r="S30">
        <f t="shared" si="22"/>
        <v>98732.863254673342</v>
      </c>
      <c r="T30">
        <f t="shared" si="9"/>
        <v>460.49314040956028</v>
      </c>
      <c r="U30">
        <f t="shared" si="19"/>
        <v>492513.08342234284</v>
      </c>
      <c r="V30">
        <f t="shared" si="20"/>
        <v>5365336.069013888</v>
      </c>
      <c r="W30">
        <f t="shared" si="12"/>
        <v>54.341947474717131</v>
      </c>
    </row>
    <row r="31" spans="1:23">
      <c r="A31">
        <v>2019</v>
      </c>
      <c r="B31" t="s">
        <v>24</v>
      </c>
      <c r="C31">
        <v>45</v>
      </c>
      <c r="D31">
        <v>5</v>
      </c>
      <c r="E31">
        <v>2.5</v>
      </c>
      <c r="F31">
        <v>159905</v>
      </c>
      <c r="G31">
        <v>263.95999999999998</v>
      </c>
      <c r="H31">
        <f t="shared" si="0"/>
        <v>1.6507301210093492E-3</v>
      </c>
      <c r="I31">
        <f t="shared" si="15"/>
        <v>8.2197292185278367E-3</v>
      </c>
      <c r="J31">
        <f t="shared" si="21"/>
        <v>98100.664463341091</v>
      </c>
      <c r="K31">
        <f t="shared" si="2"/>
        <v>806.36089804632013</v>
      </c>
      <c r="L31">
        <f t="shared" si="16"/>
        <v>488487.42007158964</v>
      </c>
      <c r="M31">
        <f t="shared" si="17"/>
        <v>4861225.3388978913</v>
      </c>
      <c r="N31">
        <f t="shared" si="5"/>
        <v>49.553439474555915</v>
      </c>
      <c r="O31">
        <v>5</v>
      </c>
      <c r="P31">
        <f t="shared" si="6"/>
        <v>258.95999999999998</v>
      </c>
      <c r="Q31">
        <f t="shared" si="7"/>
        <v>1.6194615552984582E-3</v>
      </c>
      <c r="R31">
        <f t="shared" si="18"/>
        <v>8.0646567724929688E-3</v>
      </c>
      <c r="S31">
        <f t="shared" si="22"/>
        <v>98272.370114263787</v>
      </c>
      <c r="T31">
        <f t="shared" si="9"/>
        <v>792.53293519093313</v>
      </c>
      <c r="U31">
        <f t="shared" si="19"/>
        <v>489380.51823334157</v>
      </c>
      <c r="V31">
        <f t="shared" si="20"/>
        <v>4872822.9855915448</v>
      </c>
      <c r="W31">
        <f t="shared" si="12"/>
        <v>49.584872939624731</v>
      </c>
    </row>
    <row r="32" spans="1:23">
      <c r="A32">
        <v>2019</v>
      </c>
      <c r="B32" t="s">
        <v>24</v>
      </c>
      <c r="C32">
        <v>50</v>
      </c>
      <c r="D32">
        <v>5</v>
      </c>
      <c r="E32">
        <v>2.5</v>
      </c>
      <c r="F32">
        <v>145368</v>
      </c>
      <c r="G32">
        <v>396.29</v>
      </c>
      <c r="H32">
        <f t="shared" si="0"/>
        <v>2.7261157888943924E-3</v>
      </c>
      <c r="I32">
        <f t="shared" si="15"/>
        <v>1.353831143309017E-2</v>
      </c>
      <c r="J32">
        <f t="shared" si="21"/>
        <v>97294.303565294773</v>
      </c>
      <c r="K32">
        <f t="shared" si="2"/>
        <v>1317.200582332576</v>
      </c>
      <c r="L32">
        <f t="shared" si="16"/>
        <v>483178.51637064246</v>
      </c>
      <c r="M32">
        <f t="shared" si="17"/>
        <v>4372737.9188263016</v>
      </c>
      <c r="N32">
        <f t="shared" si="5"/>
        <v>44.943411470042868</v>
      </c>
      <c r="O32">
        <v>8</v>
      </c>
      <c r="P32">
        <f t="shared" si="6"/>
        <v>388.29</v>
      </c>
      <c r="Q32">
        <f t="shared" si="7"/>
        <v>2.6710830444114249E-3</v>
      </c>
      <c r="R32">
        <f t="shared" si="18"/>
        <v>1.3266823255430169E-2</v>
      </c>
      <c r="S32">
        <f t="shared" si="22"/>
        <v>97479.837179072856</v>
      </c>
      <c r="T32">
        <f t="shared" si="9"/>
        <v>1293.2477708228701</v>
      </c>
      <c r="U32">
        <f t="shared" si="19"/>
        <v>484166.06646830711</v>
      </c>
      <c r="V32">
        <f t="shared" si="20"/>
        <v>4383442.4673582036</v>
      </c>
      <c r="W32">
        <f t="shared" si="12"/>
        <v>44.967683514958196</v>
      </c>
    </row>
    <row r="33" spans="1:23">
      <c r="A33">
        <v>2019</v>
      </c>
      <c r="B33" t="s">
        <v>24</v>
      </c>
      <c r="C33">
        <v>55</v>
      </c>
      <c r="D33">
        <v>5</v>
      </c>
      <c r="E33">
        <v>2.5</v>
      </c>
      <c r="F33">
        <v>130831</v>
      </c>
      <c r="G33">
        <v>614.41</v>
      </c>
      <c r="H33">
        <f t="shared" si="0"/>
        <v>4.6962111426191036E-3</v>
      </c>
      <c r="I33">
        <f t="shared" si="15"/>
        <v>2.3208574794213285E-2</v>
      </c>
      <c r="J33">
        <f t="shared" si="21"/>
        <v>95977.102982962198</v>
      </c>
      <c r="K33">
        <f t="shared" si="2"/>
        <v>2227.491773111989</v>
      </c>
      <c r="L33">
        <f t="shared" si="16"/>
        <v>474316.78548203094</v>
      </c>
      <c r="M33">
        <f t="shared" si="17"/>
        <v>3889559.4024556591</v>
      </c>
      <c r="N33">
        <f t="shared" si="5"/>
        <v>40.525909634364893</v>
      </c>
      <c r="O33">
        <v>3</v>
      </c>
      <c r="P33">
        <f t="shared" si="6"/>
        <v>611.41</v>
      </c>
      <c r="Q33">
        <f t="shared" si="7"/>
        <v>4.6732807973645391E-3</v>
      </c>
      <c r="R33">
        <f t="shared" si="18"/>
        <v>2.3096562185456616E-2</v>
      </c>
      <c r="S33">
        <f t="shared" si="22"/>
        <v>96186.589408249987</v>
      </c>
      <c r="T33">
        <f t="shared" si="9"/>
        <v>2221.5795436746284</v>
      </c>
      <c r="U33">
        <f t="shared" si="19"/>
        <v>475378.99818206334</v>
      </c>
      <c r="V33">
        <f t="shared" si="20"/>
        <v>3899276.4008898968</v>
      </c>
      <c r="W33">
        <f t="shared" si="12"/>
        <v>40.53866994223057</v>
      </c>
    </row>
    <row r="34" spans="1:23">
      <c r="A34">
        <v>2019</v>
      </c>
      <c r="B34" t="s">
        <v>24</v>
      </c>
      <c r="C34">
        <v>60</v>
      </c>
      <c r="D34">
        <v>5</v>
      </c>
      <c r="E34">
        <v>2.5</v>
      </c>
      <c r="F34">
        <v>116294</v>
      </c>
      <c r="G34">
        <v>917.42</v>
      </c>
      <c r="H34">
        <f t="shared" si="0"/>
        <v>7.8887990781983594E-3</v>
      </c>
      <c r="I34">
        <f t="shared" si="15"/>
        <v>3.8681126307103908E-2</v>
      </c>
      <c r="J34">
        <f t="shared" si="21"/>
        <v>93749.611209850205</v>
      </c>
      <c r="K34">
        <f t="shared" si="2"/>
        <v>3626.3405524501004</v>
      </c>
      <c r="L34">
        <f t="shared" si="16"/>
        <v>459682.20466812584</v>
      </c>
      <c r="M34">
        <f t="shared" si="17"/>
        <v>3415242.6169736283</v>
      </c>
      <c r="N34">
        <f t="shared" si="5"/>
        <v>36.429405657255579</v>
      </c>
      <c r="O34">
        <v>2</v>
      </c>
      <c r="P34">
        <f t="shared" si="6"/>
        <v>915.42</v>
      </c>
      <c r="Q34">
        <f t="shared" si="7"/>
        <v>7.8716012863948269E-3</v>
      </c>
      <c r="R34">
        <f t="shared" si="18"/>
        <v>3.8598427846255633E-2</v>
      </c>
      <c r="S34">
        <f t="shared" si="22"/>
        <v>93965.009864575361</v>
      </c>
      <c r="T34">
        <f t="shared" si="9"/>
        <v>3626.9016533305107</v>
      </c>
      <c r="U34">
        <f t="shared" si="19"/>
        <v>460757.79518955055</v>
      </c>
      <c r="V34">
        <f t="shared" si="20"/>
        <v>3423897.4027078333</v>
      </c>
      <c r="W34">
        <f t="shared" si="12"/>
        <v>36.438003972355631</v>
      </c>
    </row>
    <row r="35" spans="1:23">
      <c r="A35">
        <v>2019</v>
      </c>
      <c r="B35" t="s">
        <v>24</v>
      </c>
      <c r="C35">
        <v>65</v>
      </c>
      <c r="D35">
        <v>5</v>
      </c>
      <c r="E35">
        <v>2.5</v>
      </c>
      <c r="F35">
        <v>101758</v>
      </c>
      <c r="G35">
        <v>1320.73</v>
      </c>
      <c r="H35">
        <f t="shared" si="0"/>
        <v>1.2979126948249769E-2</v>
      </c>
      <c r="I35">
        <f t="shared" si="15"/>
        <v>6.2856091755340349E-2</v>
      </c>
      <c r="J35">
        <f t="shared" si="21"/>
        <v>90123.270657400106</v>
      </c>
      <c r="K35">
        <f t="shared" si="2"/>
        <v>5664.7965697329137</v>
      </c>
      <c r="L35">
        <f t="shared" si="16"/>
        <v>436454.36186266819</v>
      </c>
      <c r="M35">
        <f t="shared" si="17"/>
        <v>2955560.4123055027</v>
      </c>
      <c r="N35">
        <f t="shared" si="5"/>
        <v>32.794642168957047</v>
      </c>
      <c r="O35">
        <v>1</v>
      </c>
      <c r="P35">
        <f t="shared" si="6"/>
        <v>1319.73</v>
      </c>
      <c r="Q35">
        <f t="shared" si="7"/>
        <v>1.2969299711079227E-2</v>
      </c>
      <c r="R35">
        <f t="shared" si="18"/>
        <v>6.2809994448269069E-2</v>
      </c>
      <c r="S35">
        <f t="shared" si="22"/>
        <v>90338.108211244849</v>
      </c>
      <c r="T35">
        <f t="shared" si="9"/>
        <v>5674.1360752154196</v>
      </c>
      <c r="U35">
        <f t="shared" si="19"/>
        <v>437505.20086818573</v>
      </c>
      <c r="V35">
        <f t="shared" si="20"/>
        <v>2963139.6075182827</v>
      </c>
      <c r="W35">
        <f t="shared" si="12"/>
        <v>32.800549692598558</v>
      </c>
    </row>
    <row r="36" spans="1:23">
      <c r="A36">
        <v>2019</v>
      </c>
      <c r="B36" t="s">
        <v>24</v>
      </c>
      <c r="C36">
        <v>70</v>
      </c>
      <c r="D36">
        <v>5</v>
      </c>
      <c r="E36">
        <v>2.5</v>
      </c>
      <c r="F36">
        <v>87221</v>
      </c>
      <c r="G36">
        <v>1865.97</v>
      </c>
      <c r="H36">
        <f t="shared" si="0"/>
        <v>2.1393586406943284E-2</v>
      </c>
      <c r="I36">
        <f t="shared" si="15"/>
        <v>0.10153731379425085</v>
      </c>
      <c r="J36">
        <f t="shared" si="21"/>
        <v>84458.474087667186</v>
      </c>
      <c r="K36">
        <f t="shared" si="2"/>
        <v>8575.6865860230664</v>
      </c>
      <c r="L36">
        <f t="shared" si="16"/>
        <v>400853.1539732783</v>
      </c>
      <c r="M36">
        <f t="shared" si="17"/>
        <v>2519106.0504428344</v>
      </c>
      <c r="N36">
        <f t="shared" si="5"/>
        <v>29.82656361785584</v>
      </c>
      <c r="O36">
        <v>3</v>
      </c>
      <c r="P36">
        <f t="shared" si="6"/>
        <v>1862.97</v>
      </c>
      <c r="Q36">
        <f t="shared" si="7"/>
        <v>2.1359191020511117E-2</v>
      </c>
      <c r="R36">
        <f t="shared" si="18"/>
        <v>0.10138234302557973</v>
      </c>
      <c r="S36">
        <f t="shared" si="22"/>
        <v>84663.972136029435</v>
      </c>
      <c r="T36">
        <f t="shared" si="9"/>
        <v>8583.43186500306</v>
      </c>
      <c r="U36">
        <f t="shared" si="19"/>
        <v>401861.2810176395</v>
      </c>
      <c r="V36">
        <f t="shared" si="20"/>
        <v>2525634.4066500971</v>
      </c>
      <c r="W36">
        <f t="shared" si="12"/>
        <v>29.831277022913188</v>
      </c>
    </row>
    <row r="37" spans="1:23">
      <c r="A37">
        <v>2019</v>
      </c>
      <c r="B37" t="s">
        <v>24</v>
      </c>
      <c r="C37">
        <v>75</v>
      </c>
      <c r="D37">
        <v>5</v>
      </c>
      <c r="E37">
        <v>2.5</v>
      </c>
      <c r="F37">
        <v>72684</v>
      </c>
      <c r="G37">
        <v>2603.7800000000002</v>
      </c>
      <c r="H37">
        <f t="shared" si="0"/>
        <v>3.5823289857465197E-2</v>
      </c>
      <c r="I37">
        <f>1</f>
        <v>1</v>
      </c>
      <c r="J37">
        <f t="shared" si="21"/>
        <v>75882.787501644125</v>
      </c>
      <c r="K37">
        <f t="shared" si="2"/>
        <v>75882.787501644125</v>
      </c>
      <c r="L37">
        <f>J37/H37</f>
        <v>2118252.8964695563</v>
      </c>
      <c r="M37">
        <f>L37</f>
        <v>2118252.8964695563</v>
      </c>
      <c r="N37">
        <f t="shared" si="5"/>
        <v>27.914800789621243</v>
      </c>
      <c r="O37">
        <v>0</v>
      </c>
      <c r="P37">
        <f t="shared" si="6"/>
        <v>2603.7800000000002</v>
      </c>
      <c r="Q37">
        <f t="shared" si="7"/>
        <v>3.5823289857465197E-2</v>
      </c>
      <c r="R37">
        <f>1</f>
        <v>1</v>
      </c>
      <c r="S37">
        <f t="shared" si="22"/>
        <v>76080.540271026373</v>
      </c>
      <c r="T37">
        <f t="shared" si="9"/>
        <v>76080.540271026373</v>
      </c>
      <c r="U37">
        <f>S37/Q37</f>
        <v>2123773.1256324574</v>
      </c>
      <c r="V37">
        <f>U37</f>
        <v>2123773.1256324574</v>
      </c>
      <c r="W37">
        <f t="shared" si="12"/>
        <v>27.914800789621239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tabSelected="1" workbookViewId="0">
      <selection activeCell="D11" sqref="D11"/>
    </sheetView>
  </sheetViews>
  <sheetFormatPr baseColWidth="10" defaultColWidth="9" defaultRowHeight="14.25"/>
  <cols>
    <col min="1" max="5" width="18" customWidth="1"/>
  </cols>
  <sheetData>
    <row r="1" spans="1:5" ht="15">
      <c r="A1" s="1" t="s">
        <v>1</v>
      </c>
      <c r="B1" s="1" t="s">
        <v>25</v>
      </c>
      <c r="C1" s="1" t="s">
        <v>26</v>
      </c>
      <c r="D1" s="1" t="s">
        <v>27</v>
      </c>
      <c r="E1" s="1" t="s">
        <v>14</v>
      </c>
    </row>
    <row r="2" spans="1:5">
      <c r="A2" t="s">
        <v>23</v>
      </c>
      <c r="B2" s="7">
        <f>tabla_vida_2019!N2</f>
        <v>74.799994973788174</v>
      </c>
      <c r="C2" s="7">
        <f>tabla_vida_2019!W2</f>
        <v>75.672963771861802</v>
      </c>
      <c r="D2" s="7">
        <f>C2-B2</f>
        <v>0.8729687980736287</v>
      </c>
      <c r="E2" s="8">
        <f>tabla_vida_2019!O2+tabla_vida_2019!O3+tabla_vida_2019!O4+tabla_vida_2019!O5+tabla_vida_2019!O6+tabla_vida_2019!O7+tabla_vida_2019!O8+tabla_vida_2019!O9+tabla_vida_2019!O10+tabla_vida_2019!O11+tabla_vida_2019!O12+tabla_vida_2019!O13+tabla_vida_2019!O14+tabla_vida_2019!O15+tabla_vida_2019!O16+tabla_vida_2019!O17+tabla_vida_2019!O18+tabla_vida_2019!O19</f>
        <v>819</v>
      </c>
    </row>
    <row r="3" spans="1:5">
      <c r="A3" t="s">
        <v>24</v>
      </c>
      <c r="B3" s="7">
        <f>tabla_vida_2019!N20</f>
        <v>4.7999717102689523</v>
      </c>
      <c r="C3" s="7">
        <f>tabla_vida_2019!W20</f>
        <v>4.8005021982224134</v>
      </c>
      <c r="D3" s="7">
        <f>C3-B3</f>
        <v>5.3048795346111177E-4</v>
      </c>
      <c r="E3" s="8">
        <f>tabla_vida_2019!O20+tabla_vida_2019!O21+tabla_vida_2019!O22+tabla_vida_2019!O23+tabla_vida_2019!O24+tabla_vida_2019!O25+tabla_vida_2019!O26+tabla_vida_2019!O27+tabla_vida_2019!O28+tabla_vida_2019!O29+tabla_vida_2019!O30+tabla_vida_2019!O31+tabla_vida_2019!O32+tabla_vida_2019!O33+tabla_vida_2019!O34+tabla_vida_2019!O35+tabla_vida_2019!O36+tabla_vida_2019!O37</f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/>
  </sheetViews>
  <sheetFormatPr baseColWidth="10" defaultColWidth="9" defaultRowHeight="14.25"/>
  <cols>
    <col min="1" max="3" width="18" customWidth="1"/>
  </cols>
  <sheetData>
    <row r="1" spans="1:3" ht="15">
      <c r="A1" s="1" t="s">
        <v>1</v>
      </c>
      <c r="B1" s="1" t="s">
        <v>2</v>
      </c>
      <c r="C1" s="2" t="s">
        <v>14</v>
      </c>
    </row>
    <row r="2" spans="1:3">
      <c r="A2" t="s">
        <v>23</v>
      </c>
      <c r="B2">
        <v>0</v>
      </c>
      <c r="C2">
        <v>5</v>
      </c>
    </row>
    <row r="3" spans="1:3">
      <c r="A3" t="s">
        <v>23</v>
      </c>
      <c r="B3">
        <v>1</v>
      </c>
      <c r="C3">
        <v>0</v>
      </c>
    </row>
    <row r="4" spans="1:3">
      <c r="A4" t="s">
        <v>23</v>
      </c>
      <c r="B4">
        <v>5</v>
      </c>
      <c r="C4">
        <v>0</v>
      </c>
    </row>
    <row r="5" spans="1:3">
      <c r="A5" t="s">
        <v>23</v>
      </c>
      <c r="B5">
        <v>10</v>
      </c>
      <c r="C5">
        <v>4</v>
      </c>
    </row>
    <row r="6" spans="1:3">
      <c r="A6" t="s">
        <v>23</v>
      </c>
      <c r="B6">
        <v>15</v>
      </c>
      <c r="C6">
        <v>64</v>
      </c>
    </row>
    <row r="7" spans="1:3">
      <c r="A7" t="s">
        <v>23</v>
      </c>
      <c r="B7">
        <v>20</v>
      </c>
      <c r="C7">
        <v>150</v>
      </c>
    </row>
    <row r="8" spans="1:3">
      <c r="A8" t="s">
        <v>23</v>
      </c>
      <c r="B8">
        <v>25</v>
      </c>
      <c r="C8">
        <v>143</v>
      </c>
    </row>
    <row r="9" spans="1:3">
      <c r="A9" t="s">
        <v>23</v>
      </c>
      <c r="B9">
        <v>30</v>
      </c>
      <c r="C9">
        <v>111</v>
      </c>
    </row>
    <row r="10" spans="1:3">
      <c r="A10" t="s">
        <v>23</v>
      </c>
      <c r="B10">
        <v>35</v>
      </c>
      <c r="C10">
        <v>100</v>
      </c>
    </row>
    <row r="11" spans="1:3">
      <c r="A11" t="s">
        <v>23</v>
      </c>
      <c r="B11">
        <v>40</v>
      </c>
      <c r="C11">
        <v>65</v>
      </c>
    </row>
    <row r="12" spans="1:3">
      <c r="A12" t="s">
        <v>23</v>
      </c>
      <c r="B12">
        <v>45</v>
      </c>
      <c r="C12">
        <v>70</v>
      </c>
    </row>
    <row r="13" spans="1:3">
      <c r="A13" t="s">
        <v>23</v>
      </c>
      <c r="B13">
        <v>50</v>
      </c>
      <c r="C13">
        <v>46</v>
      </c>
    </row>
    <row r="14" spans="1:3">
      <c r="A14" t="s">
        <v>23</v>
      </c>
      <c r="B14">
        <v>55</v>
      </c>
      <c r="C14">
        <v>33</v>
      </c>
    </row>
    <row r="15" spans="1:3">
      <c r="A15" t="s">
        <v>23</v>
      </c>
      <c r="B15">
        <v>60</v>
      </c>
      <c r="C15">
        <v>12</v>
      </c>
    </row>
    <row r="16" spans="1:3">
      <c r="A16" t="s">
        <v>23</v>
      </c>
      <c r="B16">
        <v>65</v>
      </c>
      <c r="C16">
        <v>7</v>
      </c>
    </row>
    <row r="17" spans="1:3">
      <c r="A17" t="s">
        <v>23</v>
      </c>
      <c r="B17">
        <v>70</v>
      </c>
      <c r="C17">
        <v>7</v>
      </c>
    </row>
    <row r="18" spans="1:3">
      <c r="A18" t="s">
        <v>23</v>
      </c>
      <c r="B18">
        <v>75</v>
      </c>
      <c r="C18">
        <v>2</v>
      </c>
    </row>
    <row r="19" spans="1:3">
      <c r="A19" t="s">
        <v>23</v>
      </c>
      <c r="B19">
        <v>80</v>
      </c>
      <c r="C19">
        <v>0</v>
      </c>
    </row>
    <row r="20" spans="1:3">
      <c r="A20" t="s">
        <v>23</v>
      </c>
      <c r="B20">
        <v>85</v>
      </c>
      <c r="C20">
        <v>1</v>
      </c>
    </row>
    <row r="21" spans="1:3">
      <c r="A21" t="s">
        <v>24</v>
      </c>
      <c r="B21">
        <v>0</v>
      </c>
      <c r="C21">
        <v>0</v>
      </c>
    </row>
    <row r="22" spans="1:3">
      <c r="A22" t="s">
        <v>24</v>
      </c>
      <c r="B22">
        <v>1</v>
      </c>
      <c r="C22">
        <v>2</v>
      </c>
    </row>
    <row r="23" spans="1:3">
      <c r="A23" t="s">
        <v>24</v>
      </c>
      <c r="B23">
        <v>5</v>
      </c>
      <c r="C23">
        <v>2</v>
      </c>
    </row>
    <row r="24" spans="1:3">
      <c r="A24" t="s">
        <v>24</v>
      </c>
      <c r="B24">
        <v>10</v>
      </c>
      <c r="C24">
        <v>3</v>
      </c>
    </row>
    <row r="25" spans="1:3">
      <c r="A25" t="s">
        <v>24</v>
      </c>
      <c r="B25">
        <v>15</v>
      </c>
      <c r="C25">
        <v>7</v>
      </c>
    </row>
    <row r="26" spans="1:3">
      <c r="A26" t="s">
        <v>24</v>
      </c>
      <c r="B26">
        <v>20</v>
      </c>
      <c r="C26">
        <v>17</v>
      </c>
    </row>
    <row r="27" spans="1:3">
      <c r="A27" t="s">
        <v>24</v>
      </c>
      <c r="B27">
        <v>25</v>
      </c>
      <c r="C27">
        <v>16</v>
      </c>
    </row>
    <row r="28" spans="1:3">
      <c r="A28" t="s">
        <v>24</v>
      </c>
      <c r="B28">
        <v>30</v>
      </c>
      <c r="C28">
        <v>12</v>
      </c>
    </row>
    <row r="29" spans="1:3">
      <c r="A29" t="s">
        <v>24</v>
      </c>
      <c r="B29">
        <v>35</v>
      </c>
      <c r="C29">
        <v>7</v>
      </c>
    </row>
    <row r="30" spans="1:3">
      <c r="A30" t="s">
        <v>24</v>
      </c>
      <c r="B30">
        <v>40</v>
      </c>
      <c r="C30">
        <v>6</v>
      </c>
    </row>
    <row r="31" spans="1:3">
      <c r="A31" t="s">
        <v>24</v>
      </c>
      <c r="B31">
        <v>45</v>
      </c>
      <c r="C31">
        <v>5</v>
      </c>
    </row>
    <row r="32" spans="1:3">
      <c r="A32" t="s">
        <v>24</v>
      </c>
      <c r="B32">
        <v>50</v>
      </c>
      <c r="C32">
        <v>8</v>
      </c>
    </row>
    <row r="33" spans="1:3">
      <c r="A33" t="s">
        <v>24</v>
      </c>
      <c r="B33">
        <v>55</v>
      </c>
      <c r="C33">
        <v>3</v>
      </c>
    </row>
    <row r="34" spans="1:3">
      <c r="A34" t="s">
        <v>24</v>
      </c>
      <c r="B34">
        <v>60</v>
      </c>
      <c r="C34">
        <v>2</v>
      </c>
    </row>
    <row r="35" spans="1:3">
      <c r="A35" t="s">
        <v>24</v>
      </c>
      <c r="B35">
        <v>65</v>
      </c>
      <c r="C35">
        <v>1</v>
      </c>
    </row>
    <row r="36" spans="1:3">
      <c r="A36" t="s">
        <v>24</v>
      </c>
      <c r="B36">
        <v>70</v>
      </c>
      <c r="C36">
        <v>3</v>
      </c>
    </row>
    <row r="37" spans="1:3">
      <c r="A37" t="s">
        <v>24</v>
      </c>
      <c r="B37">
        <v>75</v>
      </c>
      <c r="C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>
      <selection activeCell="C20" sqref="C20"/>
    </sheetView>
  </sheetViews>
  <sheetFormatPr baseColWidth="10" defaultColWidth="9" defaultRowHeight="14.25"/>
  <cols>
    <col min="1" max="1" width="22" customWidth="1"/>
    <col min="2" max="2" width="55" customWidth="1"/>
    <col min="3" max="3" width="60" customWidth="1"/>
  </cols>
  <sheetData>
    <row r="1" spans="1:3" ht="15">
      <c r="A1" s="1" t="s">
        <v>28</v>
      </c>
      <c r="B1" s="1" t="s">
        <v>29</v>
      </c>
      <c r="C1" s="1" t="s">
        <v>30</v>
      </c>
    </row>
    <row r="2" spans="1:3">
      <c r="A2" t="s">
        <v>7</v>
      </c>
      <c r="B2" t="s">
        <v>31</v>
      </c>
      <c r="C2" t="s">
        <v>32</v>
      </c>
    </row>
    <row r="3" spans="1:3">
      <c r="A3" t="s">
        <v>8</v>
      </c>
      <c r="B3" t="s">
        <v>33</v>
      </c>
      <c r="C3" t="s">
        <v>34</v>
      </c>
    </row>
    <row r="4" spans="1:3">
      <c r="A4" t="s">
        <v>9</v>
      </c>
      <c r="B4" t="s">
        <v>35</v>
      </c>
      <c r="C4" t="s">
        <v>36</v>
      </c>
    </row>
    <row r="5" spans="1:3">
      <c r="A5" t="s">
        <v>10</v>
      </c>
      <c r="B5" t="s">
        <v>37</v>
      </c>
      <c r="C5" t="s">
        <v>38</v>
      </c>
    </row>
    <row r="6" spans="1:3">
      <c r="A6" t="s">
        <v>11</v>
      </c>
      <c r="B6" t="s">
        <v>39</v>
      </c>
      <c r="C6" t="s">
        <v>40</v>
      </c>
    </row>
    <row r="7" spans="1:3">
      <c r="A7" t="s">
        <v>12</v>
      </c>
      <c r="B7" t="s">
        <v>41</v>
      </c>
      <c r="C7" t="s">
        <v>42</v>
      </c>
    </row>
    <row r="8" spans="1:3">
      <c r="A8" t="s">
        <v>13</v>
      </c>
      <c r="B8" t="s">
        <v>43</v>
      </c>
      <c r="C8" t="s">
        <v>44</v>
      </c>
    </row>
    <row r="9" spans="1:3">
      <c r="A9" t="s">
        <v>14</v>
      </c>
      <c r="B9" t="s">
        <v>45</v>
      </c>
      <c r="C9" t="s">
        <v>46</v>
      </c>
    </row>
    <row r="10" spans="1:3">
      <c r="A10" t="s">
        <v>15</v>
      </c>
      <c r="B10" t="s">
        <v>47</v>
      </c>
      <c r="C10" t="s">
        <v>48</v>
      </c>
    </row>
    <row r="11" spans="1:3">
      <c r="A11" t="s">
        <v>16</v>
      </c>
      <c r="B11" t="s">
        <v>49</v>
      </c>
      <c r="C11" t="s">
        <v>50</v>
      </c>
    </row>
    <row r="12" spans="1:3">
      <c r="A12" t="s">
        <v>17</v>
      </c>
      <c r="B12" t="s">
        <v>51</v>
      </c>
      <c r="C12" t="s">
        <v>52</v>
      </c>
    </row>
    <row r="13" spans="1:3">
      <c r="A13" t="s">
        <v>18</v>
      </c>
      <c r="B13" t="s">
        <v>35</v>
      </c>
      <c r="C13" t="s">
        <v>53</v>
      </c>
    </row>
    <row r="14" spans="1:3">
      <c r="A14" t="s">
        <v>19</v>
      </c>
      <c r="B14" t="s">
        <v>54</v>
      </c>
      <c r="C14" t="s">
        <v>55</v>
      </c>
    </row>
    <row r="15" spans="1:3">
      <c r="A15" t="s">
        <v>20</v>
      </c>
      <c r="B15" t="s">
        <v>56</v>
      </c>
      <c r="C15" t="s">
        <v>57</v>
      </c>
    </row>
    <row r="16" spans="1:3">
      <c r="A16" t="s">
        <v>21</v>
      </c>
      <c r="B16" t="s">
        <v>58</v>
      </c>
      <c r="C16" t="s">
        <v>59</v>
      </c>
    </row>
    <row r="17" spans="1:3">
      <c r="A17" t="s">
        <v>22</v>
      </c>
      <c r="B17" t="s">
        <v>60</v>
      </c>
      <c r="C17" t="s">
        <v>61</v>
      </c>
    </row>
    <row r="18" spans="1:3">
      <c r="A18" t="s">
        <v>62</v>
      </c>
      <c r="B18" t="s">
        <v>63</v>
      </c>
      <c r="C1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tabla_vida_2019</vt:lpstr>
      <vt:lpstr>resumen</vt:lpstr>
      <vt:lpstr>homicidios_2019</vt:lpstr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Atza Alcibar</dc:creator>
  <cp:lastModifiedBy>agustin alcibar</cp:lastModifiedBy>
  <dcterms:created xsi:type="dcterms:W3CDTF">2026-06-04T23:36:22Z</dcterms:created>
  <dcterms:modified xsi:type="dcterms:W3CDTF">2026-06-04T23:36:22Z</dcterms:modified>
</cp:coreProperties>
</file>