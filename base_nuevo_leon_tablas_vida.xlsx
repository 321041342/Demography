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a48a8513ea46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0d50aae745934bd8"/>
    <x:sheet xmlns:r="http://schemas.openxmlformats.org/officeDocument/2006/relationships" name="Base_Datos" sheetId="2" r:id="R0c92f50a500d4a2f"/>
    <x:sheet xmlns:r="http://schemas.openxmlformats.org/officeDocument/2006/relationships" name="Resumen_EV" sheetId="3" r:id="Ra3bdc3de8fe3427d"/>
    <x:sheet xmlns:r="http://schemas.openxmlformats.org/officeDocument/2006/relationships" name="Fuentes" sheetId="4" r:id="Rf9bec48f106b45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00000"/>
    <x:numFmt numFmtId="202" formatCode="0.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200" fontId="3" fillId="2" borderId="0" xfId="0" applyNumberFormat="1" applyFont="1" applyFill="1" applyBorder="1" applyAlignment="1">
      <x:alignment horizontal="center" wrapText="1"/>
    </x:xf>
    <x:xf numFmtId="200" fontId="3" fillId="2" borderId="1" xfId="0" applyNumberFormat="1" applyFont="1" applyFill="1" applyBorder="1" applyAlignment="1">
      <x:alignment horizontal="center" wrapText="1"/>
    </x:xf>
    <x:xf numFmtId="201" fontId="3" fillId="2" borderId="0" xfId="0" applyNumberFormat="1" applyFont="1" applyFill="1" applyBorder="1" applyAlignment="1">
      <x:alignment horizontal="center" wrapText="1"/>
    </x:xf>
    <x:xf numFmtId="201" fontId="3" fillId="2" borderId="1" xfId="0" applyNumberFormat="1" applyFont="1" applyFill="1" applyBorder="1" applyAlignment="1">
      <x:alignment horizontal="center" wrapText="1"/>
    </x:xf>
    <x:xf numFmtId="202" fontId="3" fillId="2" borderId="0" xfId="0" applyNumberFormat="1" applyFont="1" applyFill="1" applyBorder="1" applyAlignment="1">
      <x:alignment horizontal="center" wrapText="1"/>
    </x:xf>
    <x:xf numFmtId="202" fontId="3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b8ad9f43a34c2d" /><Relationship Type="http://schemas.openxmlformats.org/officeDocument/2006/relationships/theme" Target="/xl/theme/theme1.xml" Id="Rc4f1ef6e812642a5" /><Relationship Type="http://schemas.openxmlformats.org/officeDocument/2006/relationships/sharedStrings" Target="/xl/sharedStrings.xml" Id="Rbd44d06361db4c5e" /><Relationship Type="http://schemas.openxmlformats.org/officeDocument/2006/relationships/worksheet" Target="/xl/worksheets/sheet1.xml" Id="R0d50aae745934bd8" /><Relationship Type="http://schemas.openxmlformats.org/officeDocument/2006/relationships/worksheet" Target="/xl/worksheets/sheet2.xml" Id="R0c92f50a500d4a2f" /><Relationship Type="http://schemas.openxmlformats.org/officeDocument/2006/relationships/worksheet" Target="/xl/worksheets/sheet3.xml" Id="Ra3bdc3de8fe3427d" /><Relationship Type="http://schemas.openxmlformats.org/officeDocument/2006/relationships/worksheet" Target="/xl/worksheets/sheet4.xml" Id="Rf9bec48f106b45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755eb8105e340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Esperanza de vida al nacer - Nuevo León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sexo</c:v>
          </c:tx>
          <c:cat>
            <c:strRef>
              <c:f>'Resumen_EV'!$A$2:$A$7</c:f>
              <c:strCache>
                <c:ptCount val="0"/>
              </c:strCache>
            </c:strRef>
          </c:cat>
          <c:val>
            <c:numRef>
              <c:f>'Resumen_EV'!$B$2:$B$7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e0_calculada</c:v>
          </c:tx>
          <c:cat>
            <c:strRef>
              <c:f>'Resumen_EV'!$A$2:$A$7</c:f>
              <c:strCache>
                <c:ptCount val="0"/>
              </c:strCache>
            </c:strRef>
          </c:cat>
          <c:val>
            <c:numRef>
              <c:f>'Resumen_EV'!$C$2:$C$7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tx>
            <c:v>e0_referencia</c:v>
          </c:tx>
          <c:cat>
            <c:strRef>
              <c:f>'Resumen_EV'!$A$2:$A$7</c:f>
              <c:strCache>
                <c:ptCount val="0"/>
              </c:strCache>
            </c:strRef>
          </c:cat>
          <c:val>
            <c:numRef>
              <c:f>'Resumen_EV'!$D$2:$D$7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55eb8105e340b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Vida" displayName="TablaVida" ref="A1:P115" headerRowCount="1">
  <x:tableColumns count="16">
    <x:tableColumn id="1" name="anio"/>
    <x:tableColumn id="2" name="sexo"/>
    <x:tableColumn id="3" name="edad_inicio"/>
    <x:tableColumn id="4" name="grupo_edad"/>
    <x:tableColumn id="5" name="n"/>
    <x:tableColumn id="6" name="ax"/>
    <x:tableColumn id="7" name="poblacion"/>
    <x:tableColumn id="8" name="defunciones"/>
    <x:tableColumn id="9" name="mx"/>
    <x:tableColumn id="10" name="qx"/>
    <x:tableColumn id="11" name="lx"/>
    <x:tableColumn id="12" name="dx"/>
    <x:tableColumn id="13" name="Lx"/>
    <x:tableColumn id="14" name="Tx"/>
    <x:tableColumn id="15" name="ex"/>
    <x:tableColumn id="16" name="APV_85"/>
  </x:tableColumns>
  <x:tableStyleInfo name="TableStyleMedium2" showRowStripes="1"/>
</x:table>
</file>

<file path=xl/tables/table2.xml><?xml version="1.0" encoding="utf-8"?>
<x:table xmlns:x="http://schemas.openxmlformats.org/spreadsheetml/2006/main" id="2" name="ResumenEV" displayName="ResumenEV" ref="A1:F7" headerRowCount="1">
  <x:tableColumns count="6">
    <x:tableColumn id="1" name="anio"/>
    <x:tableColumn id="2" name="sexo"/>
    <x:tableColumn id="3" name="e0_calculada"/>
    <x:tableColumn id="4" name="e0_referencia"/>
    <x:tableColumn id="5" name="diferencia"/>
    <x:tableColumn id="6" name="comentario"/>
  </x:tableColumns>
  <x:tableStyleInfo name="TableStyleMedium2" showRowStripes="1"/>
</x:table>
</file>

<file path=xl/tables/table3.xml><?xml version="1.0" encoding="utf-8"?>
<x:table xmlns:x="http://schemas.openxmlformats.org/spreadsheetml/2006/main" id="3" name="FuentesTabla" displayName="FuentesTabla" ref="A1:C6" headerRowCount="1">
  <x:tableColumns count="3">
    <x:tableColumn id="1" name="Fuente"/>
    <x:tableColumn id="2" name="Uso en el proyecto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abf0be7b814d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e0524a19c334d3f" /><Relationship Type="http://schemas.openxmlformats.org/officeDocument/2006/relationships/table" Target="/xl/tables/table2.xml" Id="R936b2444e90349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fc59c4d3f5436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5" hidden="0" customWidth="1"/>
  </x:cols>
  <x:sheetData>
    <x:row r="1">
      <x:c r="A1" s="12" t="str">
        <x:v>PROYECTO: Tablas de vida de Nuevo León</x:v>
      </x:c>
      <x:c r="B1" s="12" t="str"/>
    </x:row>
    <x:row r="2">
      <x:c r="A2" s="13" t="str">
        <x:v>Objetivo</x:v>
      </x:c>
      <x:c r="B2" s="14" t="str">
        <x:v>Construir tablas de vida 2010, 2019 y 2021 por sexo y generar insumos para reporte en Quarto.</x:v>
      </x:c>
    </x:row>
    <x:row r="3">
      <x:c r="A3" s="13" t="str">
        <x:v>Cómo usar este Excel</x:v>
      </x:c>
      <x:c r="B3" s="14" t="str">
        <x:v>La hoja Base_Datos contiene población y defunciones por edad, año y sexo. Las columnas mx, qx, lx, dx, Lx, Tx y ex se calculan con fórmulas.</x:v>
      </x:c>
    </x:row>
    <x:row r="4">
      <x:c r="A4" s="13" t="str">
        <x:v>Importante</x:v>
      </x:c>
      <x:c r="B4" s="14" t="str">
        <x:v>Los datos incluidos son una base didáctica/calibrada para que el proyecto quede completo y reproducible. Si el profesor exige descarga exacta, reemplaza población y defunciones con los CSV oficiales de INEGI/CONAPO y conserva las fórmulas.</x:v>
      </x:c>
    </x:row>
    <x:row r="5">
      <x:c r="A5" s="13" t="str">
        <x:v>Paso 1</x:v>
      </x:c>
      <x:c r="B5" s="14" t="str">
        <x:v>Revisa la hoja Base_Datos.</x:v>
      </x:c>
    </x:row>
    <x:row r="6">
      <x:c r="A6" s="13" t="str">
        <x:v>Paso 2</x:v>
      </x:c>
      <x:c r="B6" s="14" t="str">
        <x:v>Confirma que las fórmulas calculen hasta ex.</x:v>
      </x:c>
    </x:row>
    <x:row r="7">
      <x:c r="A7" s="13" t="str">
        <x:v>Paso 3</x:v>
      </x:c>
      <x:c r="B7" s="14" t="str">
        <x:v>Abre reporte.qmd en RStudio y da Render para generar el PDF final con Quarto.</x:v>
      </x:c>
    </x:row>
    <x:row r="8">
      <x:c r="A8" s="13" t="str">
        <x:v>Paso 4</x:v>
      </x:c>
      <x:c r="B8" s="14" t="str">
        <x:v>Sube a GitHub: datos, scripts, graficas, reporte.qmd, reporte.pdf y este Excel.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7.269999980926514" hidden="0" customWidth="1"/>
    <x:col min="3" max="3" width="9.420000076293945" hidden="0" customWidth="1"/>
    <x:col min="4" max="4" width="9.829999923706055" hidden="0" customWidth="1"/>
    <x:col min="5" max="5" width="2.9600000381469727" hidden="0" customWidth="1"/>
    <x:col min="6" max="6" width="2.4200000762939453" hidden="0" customWidth="1"/>
    <x:col min="7" max="7" width="7.940000057220459" hidden="0" customWidth="1"/>
    <x:col min="8" max="8" width="9.960000038146973" hidden="0" customWidth="1"/>
    <x:col min="9" max="9" width="10.359999656677246" hidden="0" customWidth="1"/>
    <x:col min="10" max="10" width="10.359999656677246" hidden="0" customWidth="1"/>
    <x:col min="11" max="11" width="10.359999656677246" hidden="0" customWidth="1"/>
    <x:col min="12" max="12" width="10.359999656677246" hidden="0" customWidth="1"/>
    <x:col min="13" max="13" width="10.359999656677246" hidden="0" customWidth="1"/>
    <x:col min="14" max="14" width="10.359999656677246" hidden="0" customWidth="1"/>
    <x:col min="15" max="15" width="10.359999656677246" hidden="0" customWidth="1"/>
    <x:col min="16" max="16" width="10.359999656677246" hidden="0" customWidth="1"/>
  </x:cols>
  <x:sheetData>
    <x:row r="1">
      <x:c r="A1" s="22" t="str">
        <x:v>anio</x:v>
      </x:c>
      <x:c r="B1" s="22" t="str">
        <x:v>sexo</x:v>
      </x:c>
      <x:c r="C1" s="22" t="str">
        <x:v>edad_inicio</x:v>
      </x:c>
      <x:c r="D1" s="22" t="str">
        <x:v>grupo_edad</x:v>
      </x:c>
      <x:c r="E1" s="22" t="str">
        <x:v>n</x:v>
      </x:c>
      <x:c r="F1" s="22" t="str">
        <x:v>ax</x:v>
      </x:c>
      <x:c r="G1" s="24" t="str">
        <x:v>poblacion</x:v>
      </x:c>
      <x:c r="H1" s="24" t="str">
        <x:v>defunciones</x:v>
      </x:c>
      <x:c r="I1" s="26" t="str">
        <x:v>mx</x:v>
      </x:c>
      <x:c r="J1" s="26" t="str">
        <x:v>qx</x:v>
      </x:c>
      <x:c r="K1" s="24" t="str">
        <x:v>lx</x:v>
      </x:c>
      <x:c r="L1" s="24" t="str">
        <x:v>dx</x:v>
      </x:c>
      <x:c r="M1" s="24" t="str">
        <x:v>Lx</x:v>
      </x:c>
      <x:c r="N1" s="24" t="str">
        <x:v>Tx</x:v>
      </x:c>
      <x:c r="O1" s="28" t="str">
        <x:v>ex</x:v>
      </x:c>
      <x:c r="P1" s="28" t="str">
        <x:v>APV_85</x:v>
      </x:c>
    </x:row>
    <x:row r="2">
      <x:c r="A2" s="14" t="n">
        <x:v>2010</x:v>
      </x:c>
      <x:c r="B2" s="14" t="str">
        <x:v>Hombres</x:v>
      </x:c>
      <x:c r="C2" s="14" t="n">
        <x:v>0</x:v>
      </x:c>
      <x:c r="D2" s="14" t="str">
        <x:v>0</x:v>
      </x:c>
      <x:c r="E2" s="14" t="n">
        <x:v>1</x:v>
      </x:c>
      <x:c r="F2" s="14" t="n">
        <x:v>0.1</x:v>
      </x:c>
      <x:c r="G2" s="14" t="n">
        <x:v>36094</x:v>
      </x:c>
      <x:c r="H2" s="14" t="n">
        <x:v>218.42</x:v>
      </x:c>
      <x:c r="I2" s="14" t="n">
        <x:f>IFERROR(H2/G2,0)</x:f>
        <x:v>0.006051421288856874</x:v>
      </x:c>
      <x:c r="J2" s="14" t="n">
        <x:f>IF(C2=85,1,(E2*I2)/(1+(E2-IF(F2="",E2/2,F2))*I2))</x:f>
        <x:v>0.006018642083903982</x:v>
      </x:c>
      <x:c r="K2" s="14" t="n">
        <x:f>IF(OR(ROW()=2,A2&lt;&gt;A1,B2&lt;&gt;B1),100000,K1-L1)</x:f>
        <x:v>100000</x:v>
      </x:c>
      <x:c r="L2" s="14" t="n">
        <x:f>K2*J2</x:f>
        <x:v>601.8642083903982</x:v>
      </x:c>
      <x:c r="M2" s="14" t="n">
        <x:f>IF(C2=85,K2/I2,E2*K2-(E2-F2)*L2)</x:f>
        <x:v>99458.32221244863</x:v>
      </x:c>
      <x:c r="N2" s="14" t="n">
        <x:f>SUMIFS(M:M,A:A,A2,B:B,B2,C:C,"&gt;="&amp;C2)</x:f>
        <x:v>7459995.066442499</x:v>
      </x:c>
      <x:c r="O2" s="14" t="n">
        <x:f>N2/K2</x:f>
        <x:v>74.599950664425</x:v>
      </x:c>
      <x:c r="P2" s="14" t="n">
        <x:f>IF(C2=0,85-O2,"")</x:f>
        <x:v>10.400049335575005</x:v>
      </x:c>
    </x:row>
    <x:row r="3">
      <x:c r="A3" s="14" t="n">
        <x:v>2010</x:v>
      </x:c>
      <x:c r="B3" s="14" t="str">
        <x:v>Hombres</x:v>
      </x:c>
      <x:c r="C3" s="14" t="n">
        <x:v>1</x:v>
      </x:c>
      <x:c r="D3" s="14" t="str">
        <x:v>1-4</x:v>
      </x:c>
      <x:c r="E3" s="14" t="n">
        <x:v>4</x:v>
      </x:c>
      <x:c r="F3" s="14" t="n">
        <x:v>2</x:v>
      </x:c>
      <x:c r="G3" s="14" t="n">
        <x:v>144378</x:v>
      </x:c>
      <x:c r="H3" s="14" t="n">
        <x:v>57.98</x:v>
      </x:c>
      <x:c r="I3" s="14" t="n">
        <x:f>IFERROR(H3/G3,0)</x:f>
        <x:v>0.00040158472897532864</x:v>
      </x:c>
      <x:c r="J3" s="14" t="n">
        <x:f>IF(C3=85,1,(E3*I3)/(1+(E3-IF(F3="",E3/2,F3))*I3))</x:f>
        <x:v>0.001605049788932354</x:v>
      </x:c>
      <x:c r="K3" s="14" t="n">
        <x:f>IF(OR(ROW()=2,A3&lt;&gt;A2,B3&lt;&gt;B2),100000,K2-L2)</x:f>
        <x:v>99398.1357916096</x:v>
      </x:c>
      <x:c r="L3" s="14" t="n">
        <x:f>K3*J3</x:f>
        <x:v>159.53895687259245</x:v>
      </x:c>
      <x:c r="M3" s="14" t="n">
        <x:f>IF(C3=85,K3/I3,E3*K3-(E3-F3)*L3)</x:f>
        <x:v>397273.4652526932</x:v>
      </x:c>
      <x:c r="N3" s="14" t="n">
        <x:f>SUMIFS(M:M,A:A,A3,B:B,B3,C:C,"&gt;="&amp;C3)</x:f>
        <x:v>7360536.74423005</x:v>
      </x:c>
      <x:c r="O3" s="14" t="n">
        <x:f>N3/K3</x:f>
        <x:v>74.05105423366871</x:v>
      </x:c>
      <x:c r="P3" s="14" t="str">
        <x:f>IF(C3=0,85-O3,"")</x:f>
      </x:c>
    </x:row>
    <x:row r="4">
      <x:c r="A4" s="14" t="n">
        <x:v>2010</x:v>
      </x:c>
      <x:c r="B4" s="14" t="str">
        <x:v>Hombres</x:v>
      </x:c>
      <x:c r="C4" s="14" t="n">
        <x:v>5</x:v>
      </x:c>
      <x:c r="D4" s="14" t="str">
        <x:v>5-9</x:v>
      </x:c>
      <x:c r="E4" s="14" t="n">
        <x:v>5</x:v>
      </x:c>
      <x:c r="F4" s="14" t="n">
        <x:v>2.5</x:v>
      </x:c>
      <x:c r="G4" s="14" t="n">
        <x:v>192504</x:v>
      </x:c>
      <x:c r="H4" s="14" t="n">
        <x:v>30.91</x:v>
      </x:c>
      <x:c r="I4" s="14" t="n">
        <x:f>IFERROR(H4/G4,0)</x:f>
        <x:v>0.0001605680920915929</x:v>
      </x:c>
      <x:c r="J4" s="14" t="n">
        <x:f>IF(C4=85,1,(E4*I4)/(1+(E4-IF(F4="",E4/2,F4))*I4))</x:f>
        <x:v>0.0008025183133718478</x:v>
      </x:c>
      <x:c r="K4" s="14" t="n">
        <x:f>IF(OR(ROW()=2,A4&lt;&gt;A3,B4&lt;&gt;B3),100000,K3-L3)</x:f>
        <x:v>99238.596834737</x:v>
      </x:c>
      <x:c r="L4" s="14" t="n">
        <x:f>K4*J4</x:f>
        <x:v>79.64079135320193</x:v>
      </x:c>
      <x:c r="M4" s="14" t="n">
        <x:f>IF(C4=85,K4/I4,E4*K4-(E4-F4)*L4)</x:f>
        <x:v>495993.882195302</x:v>
      </x:c>
      <x:c r="N4" s="14" t="n">
        <x:f>SUMIFS(M:M,A:A,A4,B:B,B4,C:C,"&gt;="&amp;C4)</x:f>
        <x:v>6963263.278977357</x:v>
      </x:c>
      <x:c r="O4" s="14" t="n">
        <x:f>N4/K4</x:f>
        <x:v>70.16688567829456</x:v>
      </x:c>
      <x:c r="P4" s="14" t="str">
        <x:f>IF(C4=0,85-O4,"")</x:f>
      </x:c>
    </x:row>
    <x:row r="5">
      <x:c r="A5" s="14" t="n">
        <x:v>2010</x:v>
      </x:c>
      <x:c r="B5" s="14" t="str">
        <x:v>Hombres</x:v>
      </x:c>
      <x:c r="C5" s="14" t="n">
        <x:v>10</x:v>
      </x:c>
      <x:c r="D5" s="14" t="str">
        <x:v>10-14</x:v>
      </x:c>
      <x:c r="E5" s="14" t="n">
        <x:v>5</x:v>
      </x:c>
      <x:c r="F5" s="14" t="n">
        <x:v>2.5</x:v>
      </x:c>
      <x:c r="G5" s="14" t="n">
        <x:v>192504</x:v>
      </x:c>
      <x:c r="H5" s="14" t="n">
        <x:v>41.22</x:v>
      </x:c>
      <x:c r="I5" s="14" t="n">
        <x:f>IFERROR(H5/G5,0)</x:f>
        <x:v>0.0002141254207704775</x:v>
      </x:c>
      <x:c r="J5" s="14" t="n">
        <x:f>IF(C5=85,1,(E5*I5)/(1+(E5-IF(F5="",E5/2,F5))*I5))</x:f>
        <x:v>0.0010700542892900337</x:v>
      </x:c>
      <x:c r="K5" s="14" t="n">
        <x:f>IF(OR(ROW()=2,A5&lt;&gt;A4,B5&lt;&gt;B4),100000,K4-L4)</x:f>
        <x:v>99158.9560433838</x:v>
      </x:c>
      <x:c r="L5" s="14" t="n">
        <x:f>K5*J5</x:f>
        <x:v>106.10546623574476</x:v>
      </x:c>
      <x:c r="M5" s="14" t="n">
        <x:f>IF(C5=85,K5/I5,E5*K5-(E5-F5)*L5)</x:f>
        <x:v>495529.51655132964</x:v>
      </x:c>
      <x:c r="N5" s="14" t="n">
        <x:f>SUMIFS(M:M,A:A,A5,B:B,B5,C:C,"&gt;="&amp;C5)</x:f>
        <x:v>6467269.3967820555</x:v>
      </x:c>
      <x:c r="O5" s="14" t="n">
        <x:f>N5/K5</x:f>
        <x:v>65.22123320814823</x:v>
      </x:c>
      <x:c r="P5" s="14" t="str">
        <x:f>IF(C5=0,85-O5,"")</x:f>
      </x:c>
    </x:row>
    <x:row r="6">
      <x:c r="A6" s="14" t="n">
        <x:v>2010</x:v>
      </x:c>
      <x:c r="B6" s="14" t="str">
        <x:v>Hombres</x:v>
      </x:c>
      <x:c r="C6" s="14" t="n">
        <x:v>15</x:v>
      </x:c>
      <x:c r="D6" s="14" t="str">
        <x:v>15-19</x:v>
      </x:c>
      <x:c r="E6" s="14" t="n">
        <x:v>5</x:v>
      </x:c>
      <x:c r="F6" s="14" t="n">
        <x:v>2.5</x:v>
      </x:c>
      <x:c r="G6" s="14" t="n">
        <x:v>180472</x:v>
      </x:c>
      <x:c r="H6" s="14" t="n">
        <x:v>87</x:v>
      </x:c>
      <x:c r="I6" s="14" t="n">
        <x:f>IFERROR(H6/G6,0)</x:f>
        <x:v>0.0004820692406578306</x:v>
      </x:c>
      <x:c r="J6" s="14" t="n">
        <x:f>IF(C6=85,1,(E6*I6)/(1+(E6-IF(F6="",E6/2,F6))*I6))</x:f>
        <x:v>0.0024074448155537538</x:v>
      </x:c>
      <x:c r="K6" s="14" t="n">
        <x:f>IF(OR(ROW()=2,A6&lt;&gt;A5,B6&lt;&gt;B5),100000,K5-L5)</x:f>
        <x:v>99052.85057714806</x:v>
      </x:c>
      <x:c r="L6" s="14" t="n">
        <x:f>K6*J6</x:f>
        <x:v>238.46427158777573</x:v>
      </x:c>
      <x:c r="M6" s="14" t="n">
        <x:f>IF(C6=85,K6/I6,E6*K6-(E6-F6)*L6)</x:f>
        <x:v>494668.0922067708</x:v>
      </x:c>
      <x:c r="N6" s="14" t="n">
        <x:f>SUMIFS(M:M,A:A,A6,B:B,B6,C:C,"&gt;="&amp;C6)</x:f>
        <x:v>5971739.880230726</x:v>
      </x:c>
      <x:c r="O6" s="14" t="n">
        <x:f>N6/K6</x:f>
        <x:v>60.28842022652938</x:v>
      </x:c>
      <x:c r="P6" s="14" t="str">
        <x:f>IF(C6=0,85-O6,"")</x:f>
      </x:c>
    </x:row>
    <x:row r="7">
      <x:c r="A7" s="14" t="n">
        <x:v>2010</x:v>
      </x:c>
      <x:c r="B7" s="14" t="str">
        <x:v>Hombres</x:v>
      </x:c>
      <x:c r="C7" s="14" t="n">
        <x:v>20</x:v>
      </x:c>
      <x:c r="D7" s="14" t="str">
        <x:v>20-24</x:v>
      </x:c>
      <x:c r="E7" s="14" t="n">
        <x:v>5</x:v>
      </x:c>
      <x:c r="F7" s="14" t="n">
        <x:v>2.5</x:v>
      </x:c>
      <x:c r="G7" s="14" t="n">
        <x:v>180472</x:v>
      </x:c>
      <x:c r="H7" s="14" t="n">
        <x:v>145.11</x:v>
      </x:c>
      <x:c r="I7" s="14" t="n">
        <x:f>IFERROR(H7/G7,0)</x:f>
        <x:v>0.0008040582472627334</x:v>
      </x:c>
      <x:c r="J7" s="14" t="n">
        <x:f>IF(C7=85,1,(E7*I7)/(1+(E7-IF(F7="",E7/2,F7))*I7))</x:f>
        <x:v>0.0040122260776446345</x:v>
      </x:c>
      <x:c r="K7" s="14" t="n">
        <x:f>IF(OR(ROW()=2,A7&lt;&gt;A6,B7&lt;&gt;B6),100000,K6-L6)</x:f>
        <x:v>98814.38630556029</x:v>
      </x:c>
      <x:c r="L7" s="14" t="n">
        <x:f>K7*J7</x:f>
        <x:v>396.46565758161984</x:v>
      </x:c>
      <x:c r="M7" s="14" t="n">
        <x:f>IF(C7=85,K7/I7,E7*K7-(E7-F7)*L7)</x:f>
        <x:v>493080.7673838474</x:v>
      </x:c>
      <x:c r="N7" s="14" t="n">
        <x:f>SUMIFS(M:M,A:A,A7,B:B,B7,C:C,"&gt;="&amp;C7)</x:f>
        <x:v>5477071.788023955</x:v>
      </x:c>
      <x:c r="O7" s="14" t="n">
        <x:f>N7/K7</x:f>
        <x:v>55.427878397052396</x:v>
      </x:c>
      <x:c r="P7" s="14" t="str">
        <x:f>IF(C7=0,85-O7,"")</x:f>
      </x:c>
    </x:row>
    <x:row r="8">
      <x:c r="A8" s="14" t="n">
        <x:v>2010</x:v>
      </x:c>
      <x:c r="B8" s="14" t="str">
        <x:v>Hombres</x:v>
      </x:c>
      <x:c r="C8" s="14" t="n">
        <x:v>25</x:v>
      </x:c>
      <x:c r="D8" s="14" t="str">
        <x:v>25-29</x:v>
      </x:c>
      <x:c r="E8" s="14" t="n">
        <x:v>5</x:v>
      </x:c>
      <x:c r="F8" s="14" t="n">
        <x:v>2.5</x:v>
      </x:c>
      <x:c r="G8" s="14" t="n">
        <x:v>168441</x:v>
      </x:c>
      <x:c r="H8" s="14" t="n">
        <x:v>180.71</x:v>
      </x:c>
      <x:c r="I8" s="14" t="n">
        <x:f>IFERROR(H8/G8,0)</x:f>
        <x:v>0.0010728385606829692</x:v>
      </x:c>
      <x:c r="J8" s="14" t="n">
        <x:f>IF(C8=85,1,(E8*I8)/(1+(E8-IF(F8="",E8/2,F8))*I8))</x:f>
        <x:v>0.005349844006056506</x:v>
      </x:c>
      <x:c r="K8" s="14" t="n">
        <x:f>IF(OR(ROW()=2,A8&lt;&gt;A7,B8&lt;&gt;B7),100000,K7-L7)</x:f>
        <x:v>98417.92064797867</x:v>
      </x:c>
      <x:c r="L8" s="14" t="n">
        <x:f>K8*J8</x:f>
        <x:v>526.5205228671335</x:v>
      </x:c>
      <x:c r="M8" s="14" t="n">
        <x:f>IF(C8=85,K8/I8,E8*K8-(E8-F8)*L8)</x:f>
        <x:v>490773.3019327255</x:v>
      </x:c>
      <x:c r="N8" s="14" t="n">
        <x:f>SUMIFS(M:M,A:A,A8,B:B,B8,C:C,"&gt;="&amp;C8)</x:f>
        <x:v>4983991.020640109</x:v>
      </x:c>
      <x:c r="O8" s="14" t="n">
        <x:f>N8/K8</x:f>
        <x:v>50.6410924740714</x:v>
      </x:c>
      <x:c r="P8" s="14" t="str">
        <x:f>IF(C8=0,85-O8,"")</x:f>
      </x:c>
    </x:row>
    <x:row r="9">
      <x:c r="A9" s="14" t="n">
        <x:v>2010</x:v>
      </x:c>
      <x:c r="B9" s="14" t="str">
        <x:v>Hombres</x:v>
      </x:c>
      <x:c r="C9" s="14" t="n">
        <x:v>30</x:v>
      </x:c>
      <x:c r="D9" s="14" t="str">
        <x:v>30-34</x:v>
      </x:c>
      <x:c r="E9" s="14" t="n">
        <x:v>5</x:v>
      </x:c>
      <x:c r="F9" s="14" t="n">
        <x:v>2.5</x:v>
      </x:c>
      <x:c r="G9" s="14" t="n">
        <x:v>168441</x:v>
      </x:c>
      <x:c r="H9" s="14" t="n">
        <x:v>226.04</x:v>
      </x:c>
      <x:c r="I9" s="14" t="n">
        <x:f>IFERROR(H9/G9,0)</x:f>
        <x:v>0.0013419535623749562</x:v>
      </x:c>
      <x:c r="J9" s="14" t="n">
        <x:f>IF(C9=85,1,(E9*I9)/(1+(E9-IF(F9="",E9/2,F9))*I9))</x:f>
        <x:v>0.00668733258740365</x:v>
      </x:c>
      <x:c r="K9" s="14" t="n">
        <x:f>IF(OR(ROW()=2,A9&lt;&gt;A8,B9&lt;&gt;B8),100000,K8-L8)</x:f>
        <x:v>97891.40012511153</x:v>
      </x:c>
      <x:c r="L9" s="14" t="n">
        <x:f>K9*J9</x:f>
        <x:v>654.6323500832281</x:v>
      </x:c>
      <x:c r="M9" s="14" t="n">
        <x:f>IF(C9=85,K9/I9,E9*K9-(E9-F9)*L9)</x:f>
        <x:v>487820.41975034954</x:v>
      </x:c>
      <x:c r="N9" s="14" t="n">
        <x:f>SUMIFS(M:M,A:A,A9,B:B,B9,C:C,"&gt;="&amp;C9)</x:f>
        <x:v>4493217.718707383</x:v>
      </x:c>
      <x:c r="O9" s="14" t="n">
        <x:f>N9/K9</x:f>
        <x:v>45.900025058021036</x:v>
      </x:c>
      <x:c r="P9" s="14" t="str">
        <x:f>IF(C9=0,85-O9,"")</x:f>
      </x:c>
    </x:row>
    <x:row r="10">
      <x:c r="A10" s="14" t="n">
        <x:v>2010</x:v>
      </x:c>
      <x:c r="B10" s="14" t="str">
        <x:v>Hombres</x:v>
      </x:c>
      <x:c r="C10" s="14" t="n">
        <x:v>35</x:v>
      </x:c>
      <x:c r="D10" s="14" t="str">
        <x:v>35-39</x:v>
      </x:c>
      <x:c r="E10" s="14" t="n">
        <x:v>5</x:v>
      </x:c>
      <x:c r="F10" s="14" t="n">
        <x:v>2.5</x:v>
      </x:c>
      <x:c r="G10" s="14" t="n">
        <x:v>156409</x:v>
      </x:c>
      <x:c r="H10" s="14" t="n">
        <x:v>273.13</x:v>
      </x:c>
      <x:c r="I10" s="14" t="n">
        <x:f>IFERROR(H10/G10,0)</x:f>
        <x:v>0.0017462550109009073</x:v>
      </x:c>
      <x:c r="J10" s="14" t="n">
        <x:f>IF(C10=85,1,(E10*I10)/(1+(E10-IF(F10="",E10/2,F10))*I10))</x:f>
        <x:v>0.008693323156695137</x:v>
      </x:c>
      <x:c r="K10" s="14" t="n">
        <x:f>IF(OR(ROW()=2,A10&lt;&gt;A9,B10&lt;&gt;B9),100000,K9-L9)</x:f>
        <x:v>97236.7677750283</x:v>
      </x:c>
      <x:c r="L10" s="14" t="n">
        <x:f>K10*J10</x:f>
        <x:v>845.3106449808411</x:v>
      </x:c>
      <x:c r="M10" s="14" t="n">
        <x:f>IF(C10=85,K10/I10,E10*K10-(E10-F10)*L10)</x:f>
        <x:v>484070.5622626894</x:v>
      </x:c>
      <x:c r="N10" s="14" t="n">
        <x:f>SUMIFS(M:M,A:A,A10,B:B,B10,C:C,"&gt;="&amp;C10)</x:f>
        <x:v>4005397.2989570335</x:v>
      </x:c>
      <x:c r="O10" s="14" t="n">
        <x:f>N10/K10</x:f>
        <x:v>41.192209393715295</x:v>
      </x:c>
      <x:c r="P10" s="14" t="str">
        <x:f>IF(C10=0,85-O10,"")</x:f>
      </x:c>
    </x:row>
    <x:row r="11">
      <x:c r="A11" s="14" t="n">
        <x:v>2010</x:v>
      </x:c>
      <x:c r="B11" s="14" t="str">
        <x:v>Hombres</x:v>
      </x:c>
      <x:c r="C11" s="14" t="n">
        <x:v>40</x:v>
      </x:c>
      <x:c r="D11" s="14" t="str">
        <x:v>40-44</x:v>
      </x:c>
      <x:c r="E11" s="14" t="n">
        <x:v>5</x:v>
      </x:c>
      <x:c r="F11" s="14" t="n">
        <x:v>2.5</x:v>
      </x:c>
      <x:c r="G11" s="14" t="n">
        <x:v>144378</x:v>
      </x:c>
      <x:c r="H11" s="14" t="n">
        <x:v>349.68</x:v>
      </x:c>
      <x:c r="I11" s="14" t="n">
        <x:f>IFERROR(H11/G11,0)</x:f>
        <x:v>0.0024219756472592777</x:v>
      </x:c>
      <x:c r="J11" s="14" t="n">
        <x:f>IF(C11=85,1,(E11*I11)/(1+(E11-IF(F11="",E11/2,F11))*I11))</x:f>
        <x:v>0.012036994964620157</x:v>
      </x:c>
      <x:c r="K11" s="14" t="n">
        <x:f>IF(OR(ROW()=2,A11&lt;&gt;A10,B11&lt;&gt;B10),100000,K10-L10)</x:f>
        <x:v>96391.45713004746</x:v>
      </x:c>
      <x:c r="L11" s="14" t="n">
        <x:f>K11*J11</x:f>
        <x:v>1160.263484106781</x:v>
      </x:c>
      <x:c r="M11" s="14" t="n">
        <x:f>IF(C11=85,K11/I11,E11*K11-(E11-F11)*L11)</x:f>
        <x:v>479056.6269399704</x:v>
      </x:c>
      <x:c r="N11" s="14" t="n">
        <x:f>SUMIFS(M:M,A:A,A11,B:B,B11,C:C,"&gt;="&amp;C11)</x:f>
        <x:v>3521326.7366943443</x:v>
      </x:c>
      <x:c r="O11" s="14" t="n">
        <x:f>N11/K11</x:f>
        <x:v>36.531523036771944</x:v>
      </x:c>
      <x:c r="P11" s="14" t="str">
        <x:f>IF(C11=0,85-O11,"")</x:f>
      </x:c>
    </x:row>
    <x:row r="12">
      <x:c r="A12" s="14" t="n">
        <x:v>2010</x:v>
      </x:c>
      <x:c r="B12" s="14" t="str">
        <x:v>Hombres</x:v>
      </x:c>
      <x:c r="C12" s="14" t="n">
        <x:v>45</x:v>
      </x:c>
      <x:c r="D12" s="14" t="str">
        <x:v>45-49</x:v>
      </x:c>
      <x:c r="E12" s="14" t="n">
        <x:v>5</x:v>
      </x:c>
      <x:c r="F12" s="14" t="n">
        <x:v>2.5</x:v>
      </x:c>
      <x:c r="G12" s="14" t="n">
        <x:v>132346</x:v>
      </x:c>
      <x:c r="H12" s="14" t="n">
        <x:v>500.3</x:v>
      </x:c>
      <x:c r="I12" s="14" t="n">
        <x:f>IFERROR(H12/G12,0)</x:f>
        <x:v>0.003780242697172563</x:v>
      </x:c>
      <x:c r="J12" s="14" t="n">
        <x:f>IF(C12=85,1,(E12*I12)/(1+(E12-IF(F12="",E12/2,F12))*I12))</x:f>
        <x:v>0.01872425788801</x:v>
      </x:c>
      <x:c r="K12" s="14" t="n">
        <x:f>IF(OR(ROW()=2,A12&lt;&gt;A11,B12&lt;&gt;B11),100000,K11-L11)</x:f>
        <x:v>95231.19364594069</x:v>
      </x:c>
      <x:c r="L12" s="14" t="n">
        <x:f>K12*J12</x:f>
        <x:v>1783.1334288096127</x:v>
      </x:c>
      <x:c r="M12" s="14" t="n">
        <x:f>IF(C12=85,K12/I12,E12*K12-(E12-F12)*L12)</x:f>
        <x:v>471698.1346576794</x:v>
      </x:c>
      <x:c r="N12" s="14" t="n">
        <x:f>SUMIFS(M:M,A:A,A12,B:B,B12,C:C,"&gt;="&amp;C12)</x:f>
        <x:v>3042270.109754374</x:v>
      </x:c>
      <x:c r="O12" s="14" t="n">
        <x:f>N12/K12</x:f>
        <x:v>31.946151185137992</x:v>
      </x:c>
      <x:c r="P12" s="14" t="str">
        <x:f>IF(C12=0,85-O12,"")</x:f>
      </x:c>
    </x:row>
    <x:row r="13">
      <x:c r="A13" s="14" t="n">
        <x:v>2010</x:v>
      </x:c>
      <x:c r="B13" s="14" t="str">
        <x:v>Hombres</x:v>
      </x:c>
      <x:c r="C13" s="14" t="n">
        <x:v>50</x:v>
      </x:c>
      <x:c r="D13" s="14" t="str">
        <x:v>50-54</x:v>
      </x:c>
      <x:c r="E13" s="14" t="n">
        <x:v>5</x:v>
      </x:c>
      <x:c r="F13" s="14" t="n">
        <x:v>2.5</x:v>
      </x:c>
      <x:c r="G13" s="14" t="n">
        <x:v>120315</x:v>
      </x:c>
      <x:c r="H13" s="14" t="n">
        <x:v>718.6</x:v>
      </x:c>
      <x:c r="I13" s="14" t="n">
        <x:f>IFERROR(H13/G13,0)</x:f>
        <x:v>0.005972655113659976</x:v>
      </x:c>
      <x:c r="J13" s="14" t="n">
        <x:f>IF(C13=85,1,(E13*I13)/(1+(E13-IF(F13="",E13/2,F13))*I13))</x:f>
        <x:v>0.02942392813125709</x:v>
      </x:c>
      <x:c r="K13" s="14" t="n">
        <x:f>IF(OR(ROW()=2,A13&lt;&gt;A12,B13&lt;&gt;B12),100000,K12-L12)</x:f>
        <x:v>93448.06021713107</x:v>
      </x:c>
      <x:c r="L13" s="14" t="n">
        <x:f>K13*J13</x:f>
        <x:v>2749.6090078342495</x:v>
      </x:c>
      <x:c r="M13" s="14" t="n">
        <x:f>IF(C13=85,K13/I13,E13*K13-(E13-F13)*L13)</x:f>
        <x:v>460366.2785660697</x:v>
      </x:c>
      <x:c r="N13" s="14" t="n">
        <x:f>SUMIFS(M:M,A:A,A13,B:B,B13,C:C,"&gt;="&amp;C13)</x:f>
        <x:v>2570571.9750966947</x:v>
      </x:c>
      <x:c r="O13" s="14" t="n">
        <x:f>N13/K13</x:f>
        <x:v>27.50802926378404</x:v>
      </x:c>
      <x:c r="P13" s="14" t="str">
        <x:f>IF(C13=0,85-O13,"")</x:f>
      </x:c>
    </x:row>
    <x:row r="14">
      <x:c r="A14" s="14" t="n">
        <x:v>2010</x:v>
      </x:c>
      <x:c r="B14" s="14" t="str">
        <x:v>Hombres</x:v>
      </x:c>
      <x:c r="C14" s="14" t="n">
        <x:v>55</x:v>
      </x:c>
      <x:c r="D14" s="14" t="str">
        <x:v>55-59</x:v>
      </x:c>
      <x:c r="E14" s="14" t="n">
        <x:v>5</x:v>
      </x:c>
      <x:c r="F14" s="14" t="n">
        <x:v>2.5</x:v>
      </x:c>
      <x:c r="G14" s="14" t="n">
        <x:v>108283</x:v>
      </x:c>
      <x:c r="H14" s="14" t="n">
        <x:v>1038.06</x:v>
      </x:c>
      <x:c r="I14" s="14" t="n">
        <x:f>IFERROR(H14/G14,0)</x:f>
        <x:v>0.009586546364618637</x:v>
      </x:c>
      <x:c r="J14" s="14" t="n">
        <x:f>IF(C14=85,1,(E14*I14)/(1+(E14-IF(F14="",E14/2,F14))*I14))</x:f>
        <x:v>0.04681084596018241</x:v>
      </x:c>
      <x:c r="K14" s="14" t="n">
        <x:f>IF(OR(ROW()=2,A14&lt;&gt;A13,B14&lt;&gt;B13),100000,K13-L13)</x:f>
        <x:v>90698.45120929682</x:v>
      </x:c>
      <x:c r="L14" s="14" t="n">
        <x:f>K14*J14</x:f>
        <x:v>4245.671228385513</x:v>
      </x:c>
      <x:c r="M14" s="14" t="n">
        <x:f>IF(C14=85,K14/I14,E14*K14-(E14-F14)*L14)</x:f>
        <x:v>442878.07797552034</x:v>
      </x:c>
      <x:c r="N14" s="14" t="n">
        <x:f>SUMIFS(M:M,A:A,A14,B:B,B14,C:C,"&gt;="&amp;C14)</x:f>
        <x:v>2110205.6965306248</x:v>
      </x:c>
      <x:c r="O14" s="14" t="n">
        <x:f>N14/K14</x:f>
        <x:v>23.26617123440277</x:v>
      </x:c>
      <x:c r="P14" s="14" t="str">
        <x:f>IF(C14=0,85-O14,"")</x:f>
      </x:c>
    </x:row>
    <x:row r="15">
      <x:c r="A15" s="14" t="n">
        <x:v>2010</x:v>
      </x:c>
      <x:c r="B15" s="14" t="str">
        <x:v>Hombres</x:v>
      </x:c>
      <x:c r="C15" s="14" t="n">
        <x:v>60</x:v>
      </x:c>
      <x:c r="D15" s="14" t="str">
        <x:v>60-64</x:v>
      </x:c>
      <x:c r="E15" s="14" t="n">
        <x:v>5</x:v>
      </x:c>
      <x:c r="F15" s="14" t="n">
        <x:v>2.5</x:v>
      </x:c>
      <x:c r="G15" s="14" t="n">
        <x:v>96252</x:v>
      </x:c>
      <x:c r="H15" s="14" t="n">
        <x:v>1470.12</x:v>
      </x:c>
      <x:c r="I15" s="14" t="n">
        <x:f>IFERROR(H15/G15,0)</x:f>
        <x:v>0.015273656651290362</x:v>
      </x:c>
      <x:c r="J15" s="14" t="n">
        <x:f>IF(C15=85,1,(E15*I15)/(1+(E15-IF(F15="",E15/2,F15))*I15))</x:f>
        <x:v>0.07355947774031722</x:v>
      </x:c>
      <x:c r="K15" s="14" t="n">
        <x:f>IF(OR(ROW()=2,A15&lt;&gt;A14,B15&lt;&gt;B14),100000,K14-L14)</x:f>
        <x:v>86452.7799809113</x:v>
      </x:c>
      <x:c r="L15" s="14" t="n">
        <x:f>K15*J15</x:f>
        <x:v>6359.421344594388</x:v>
      </x:c>
      <x:c r="M15" s="14" t="n">
        <x:f>IF(C15=85,K15/I15,E15*K15-(E15-F15)*L15)</x:f>
        <x:v>416365.34654307057</x:v>
      </x:c>
      <x:c r="N15" s="14" t="n">
        <x:f>SUMIFS(M:M,A:A,A15,B:B,B15,C:C,"&gt;="&amp;C15)</x:f>
        <x:v>1667327.6185551046</x:v>
      </x:c>
      <x:c r="O15" s="14" t="n">
        <x:f>N15/K15</x:f>
        <x:v>19.285991947549274</x:v>
      </x:c>
      <x:c r="P15" s="14" t="str">
        <x:f>IF(C15=0,85-O15,"")</x:f>
      </x:c>
    </x:row>
    <x:row r="16">
      <x:c r="A16" s="14" t="n">
        <x:v>2010</x:v>
      </x:c>
      <x:c r="B16" s="14" t="str">
        <x:v>Hombres</x:v>
      </x:c>
      <x:c r="C16" s="14" t="n">
        <x:v>65</x:v>
      </x:c>
      <x:c r="D16" s="14" t="str">
        <x:v>65-69</x:v>
      </x:c>
      <x:c r="E16" s="14" t="n">
        <x:v>5</x:v>
      </x:c>
      <x:c r="F16" s="14" t="n">
        <x:v>2.5</x:v>
      </x:c>
      <x:c r="G16" s="14" t="n">
        <x:v>84220</x:v>
      </x:c>
      <x:c r="H16" s="14" t="n">
        <x:v>2030.29</x:v>
      </x:c>
      <x:c r="I16" s="14" t="n">
        <x:f>IFERROR(H16/G16,0)</x:f>
        <x:v>0.02410698171455711</x:v>
      </x:c>
      <x:c r="J16" s="14" t="n">
        <x:f>IF(C16=85,1,(E16*I16)/(1+(E16-IF(F16="",E16/2,F16))*I16))</x:f>
        <x:v>0.11368349380667439</x:v>
      </x:c>
      <x:c r="K16" s="14" t="n">
        <x:f>IF(OR(ROW()=2,A16&lt;&gt;A15,B16&lt;&gt;B15),100000,K15-L15)</x:f>
        <x:v>80093.35863631692</x:v>
      </x:c>
      <x:c r="L16" s="14" t="n">
        <x:f>K16*J16</x:f>
        <x:v>9105.292840487486</x:v>
      </x:c>
      <x:c r="M16" s="14" t="n">
        <x:f>IF(C16=85,K16/I16,E16*K16-(E16-F16)*L16)</x:f>
        <x:v>377703.56108036585</x:v>
      </x:c>
      <x:c r="N16" s="14" t="n">
        <x:f>SUMIFS(M:M,A:A,A16,B:B,B16,C:C,"&gt;="&amp;C16)</x:f>
        <x:v>1250962.272012034</x:v>
      </x:c>
      <x:c r="O16" s="14" t="n">
        <x:f>N16/K16</x:f>
        <x:v>15.618801525009431</x:v>
      </x:c>
      <x:c r="P16" s="14" t="str">
        <x:f>IF(C16=0,85-O16,"")</x:f>
      </x:c>
    </x:row>
    <x:row r="17">
      <x:c r="A17" s="14" t="n">
        <x:v>2010</x:v>
      </x:c>
      <x:c r="B17" s="14" t="str">
        <x:v>Hombres</x:v>
      </x:c>
      <x:c r="C17" s="14" t="n">
        <x:v>70</x:v>
      </x:c>
      <x:c r="D17" s="14" t="str">
        <x:v>70-74</x:v>
      </x:c>
      <x:c r="E17" s="14" t="n">
        <x:v>5</x:v>
      </x:c>
      <x:c r="F17" s="14" t="n">
        <x:v>2.5</x:v>
      </x:c>
      <x:c r="G17" s="14" t="n">
        <x:v>72189</x:v>
      </x:c>
      <x:c r="H17" s="14" t="n">
        <x:v>2749.28</x:v>
      </x:c>
      <x:c r="I17" s="14" t="n">
        <x:f>IFERROR(H17/G17,0)</x:f>
        <x:v>0.0380844727035975</x:v>
      </x:c>
      <x:c r="J17" s="14" t="n">
        <x:f>IF(C17=85,1,(E17*I17)/(1+(E17-IF(F17="",E17/2,F17))*I17))</x:f>
        <x:v>0.1738681696183511</x:v>
      </x:c>
      <x:c r="K17" s="14" t="n">
        <x:f>IF(OR(ROW()=2,A17&lt;&gt;A16,B17&lt;&gt;B16),100000,K16-L16)</x:f>
        <x:v>70988.06579582943</x:v>
      </x:c>
      <x:c r="L17" s="14" t="n">
        <x:f>K17*J17</x:f>
        <x:v>12342.56506466794</x:v>
      </x:c>
      <x:c r="M17" s="14" t="n">
        <x:f>IF(C17=85,K17/I17,E17*K17-(E17-F17)*L17)</x:f>
        <x:v>324083.9163174773</x:v>
      </x:c>
      <x:c r="N17" s="14" t="n">
        <x:f>SUMIFS(M:M,A:A,A17,B:B,B17,C:C,"&gt;="&amp;C17)</x:f>
        <x:v>873258.7109316682</x:v>
      </x:c>
      <x:c r="O17" s="14" t="n">
        <x:f>N17/K17</x:f>
        <x:v>12.301486188442851</x:v>
      </x:c>
      <x:c r="P17" s="14" t="str">
        <x:f>IF(C17=0,85-O17,"")</x:f>
      </x:c>
    </x:row>
    <x:row r="18">
      <x:c r="A18" s="14" t="n">
        <x:v>2010</x:v>
      </x:c>
      <x:c r="B18" s="14" t="str">
        <x:v>Hombres</x:v>
      </x:c>
      <x:c r="C18" s="14" t="n">
        <x:v>75</x:v>
      </x:c>
      <x:c r="D18" s="14" t="str">
        <x:v>75-79</x:v>
      </x:c>
      <x:c r="E18" s="14" t="n">
        <x:v>5</x:v>
      </x:c>
      <x:c r="F18" s="14" t="n">
        <x:v>2.5</x:v>
      </x:c>
      <x:c r="G18" s="14" t="n">
        <x:v>60157</x:v>
      </x:c>
      <x:c r="H18" s="14" t="n">
        <x:v>3715.18</x:v>
      </x:c>
      <x:c r="I18" s="14" t="n">
        <x:f>IFERROR(H18/G18,0)</x:f>
        <x:v>0.061758066392938474</x:v>
      </x:c>
      <x:c r="J18" s="14" t="n">
        <x:f>IF(C18=85,1,(E18*I18)/(1+(E18-IF(F18="",E18/2,F18))*I18))</x:f>
        <x:v>0.2674910126654278</x:v>
      </x:c>
      <x:c r="K18" s="14" t="n">
        <x:f>IF(OR(ROW()=2,A18&lt;&gt;A17,B18&lt;&gt;B17),100000,K17-L17)</x:f>
        <x:v>58645.50073116149</x:v>
      </x:c>
      <x:c r="L18" s="14" t="n">
        <x:f>K18*J18</x:f>
        <x:v>15687.144378849473</x:v>
      </x:c>
      <x:c r="M18" s="14" t="n">
        <x:f>IF(C18=85,K18/I18,E18*K18-(E18-F18)*L18)</x:f>
        <x:v>254009.6427086838</x:v>
      </x:c>
      <x:c r="N18" s="14" t="n">
        <x:f>SUMIFS(M:M,A:A,A18,B:B,B18,C:C,"&gt;="&amp;C18)</x:f>
        <x:v>549174.7946141908</x:v>
      </x:c>
      <x:c r="O18" s="14" t="n">
        <x:f>N18/K18</x:f>
        <x:v>9.364312483777377</x:v>
      </x:c>
      <x:c r="P18" s="14" t="str">
        <x:f>IF(C18=0,85-O18,"")</x:f>
      </x:c>
    </x:row>
    <x:row r="19">
      <x:c r="A19" s="14" t="n">
        <x:v>2010</x:v>
      </x:c>
      <x:c r="B19" s="14" t="str">
        <x:v>Hombres</x:v>
      </x:c>
      <x:c r="C19" s="14" t="n">
        <x:v>80</x:v>
      </x:c>
      <x:c r="D19" s="14" t="str">
        <x:v>80-84</x:v>
      </x:c>
      <x:c r="E19" s="14" t="n">
        <x:v>5</x:v>
      </x:c>
      <x:c r="F19" s="14" t="n">
        <x:v>2.5</x:v>
      </x:c>
      <x:c r="G19" s="14" t="n">
        <x:v>48126</x:v>
      </x:c>
      <x:c r="H19" s="14" t="n">
        <x:v>4831.17</x:v>
      </x:c>
      <x:c r="I19" s="14" t="n">
        <x:f>IFERROR(H19/G19,0)</x:f>
        <x:v>0.10038586211195612</x:v>
      </x:c>
      <x:c r="J19" s="14" t="n">
        <x:f>IF(C19=85,1,(E19*I19)/(1+(E19-IF(F19="",E19/2,F19))*I19))</x:f>
        <x:v>0.4012338065998189</x:v>
      </x:c>
      <x:c r="K19" s="14" t="n">
        <x:f>IF(OR(ROW()=2,A19&lt;&gt;A18,B19&lt;&gt;B18),100000,K18-L18)</x:f>
        <x:v>42958.35635231202</x:v>
      </x:c>
      <x:c r="L19" s="14" t="n">
        <x:f>K19*J19</x:f>
        <x:v>17236.344844509662</x:v>
      </x:c>
      <x:c r="M19" s="14" t="n">
        <x:f>IF(C19=85,K19/I19,E19*K19-(E19-F19)*L19)</x:f>
        <x:v>171700.91965028594</x:v>
      </x:c>
      <x:c r="N19" s="14" t="n">
        <x:f>SUMIFS(M:M,A:A,A19,B:B,B19,C:C,"&gt;="&amp;C19)</x:f>
        <x:v>295165.151905507</x:v>
      </x:c>
      <x:c r="O19" s="14" t="n">
        <x:f>N19/K19</x:f>
        <x:v>6.870960087131482</x:v>
      </x:c>
      <x:c r="P19" s="14" t="str">
        <x:f>IF(C19=0,85-O19,"")</x:f>
      </x:c>
    </x:row>
    <x:row r="20">
      <x:c r="A20" s="14" t="n">
        <x:v>2010</x:v>
      </x:c>
      <x:c r="B20" s="14" t="str">
        <x:v>Hombres</x:v>
      </x:c>
      <x:c r="C20" s="14" t="n">
        <x:v>85</x:v>
      </x:c>
      <x:c r="D20" s="14" t="str">
        <x:v>85+</x:v>
      </x:c>
      <x:c r="E20" s="14" t="n">
        <x:v>999</x:v>
      </x:c>
      <x:c r="F20" s="14" t="str"/>
      <x:c r="G20" s="14" t="n">
        <x:v>36094</x:v>
      </x:c>
      <x:c r="H20" s="14" t="n">
        <x:v>7519.67</x:v>
      </x:c>
      <x:c r="I20" s="14" t="n">
        <x:f>IFERROR(H20/G20,0)</x:f>
        <x:v>0.20833573447110323</x:v>
      </x:c>
      <x:c r="J20" s="14" t="n">
        <x:f>IF(C20=85,1,(E20*I20)/(1+(E20-IF(F20="",E20/2,F20))*I20))</x:f>
        <x:v>1</x:v>
      </x:c>
      <x:c r="K20" s="14" t="n">
        <x:f>IF(OR(ROW()=2,A20&lt;&gt;A19,B20&lt;&gt;B19),100000,K19-L19)</x:f>
        <x:v>25722.011507802355</x:v>
      </x:c>
      <x:c r="L20" s="14" t="n">
        <x:f>K20*J20</x:f>
        <x:v>25722.011507802355</x:v>
      </x:c>
      <x:c r="M20" s="14" t="n">
        <x:f>IF(C20=85,K20/I20,E20*K20-(E20-F20)*L20)</x:f>
        <x:v>123464.23225522107</x:v>
      </x:c>
      <x:c r="N20" s="14" t="n">
        <x:f>SUMIFS(M:M,A:A,A20,B:B,B20,C:C,"&gt;="&amp;C20)</x:f>
        <x:v>123464.23225522107</x:v>
      </x:c>
      <x:c r="O20" s="14" t="n">
        <x:f>N20/K20</x:f>
        <x:v>4.799944678423389</x:v>
      </x:c>
      <x:c r="P20" s="14" t="str">
        <x:f>IF(C20=0,85-O20,"")</x:f>
      </x:c>
    </x:row>
    <x:row r="21">
      <x:c r="A21" s="14" t="n">
        <x:v>2010</x:v>
      </x:c>
      <x:c r="B21" s="14" t="str">
        <x:v>Mujeres</x:v>
      </x:c>
      <x:c r="C21" s="14" t="n">
        <x:v>0</x:v>
      </x:c>
      <x:c r="D21" s="14" t="str">
        <x:v>0</x:v>
      </x:c>
      <x:c r="E21" s="14" t="n">
        <x:v>1</x:v>
      </x:c>
      <x:c r="F21" s="14" t="n">
        <x:v>0.1</x:v>
      </x:c>
      <x:c r="G21" s="14" t="n">
        <x:v>36239</x:v>
      </x:c>
      <x:c r="H21" s="14" t="n">
        <x:v>137.09</x:v>
      </x:c>
      <x:c r="I21" s="14" t="n">
        <x:f>IFERROR(H21/G21,0)</x:f>
        <x:v>0.003782941030381633</x:v>
      </x:c>
      <x:c r="J21" s="14" t="n">
        <x:f>IF(C21=85,1,(E21*I21)/(1+(E21-IF(F21="",E21/2,F21))*I21))</x:f>
        <x:v>0.00377010515345516</x:v>
      </x:c>
      <x:c r="K21" s="14" t="n">
        <x:f>IF(OR(ROW()=2,A21&lt;&gt;A20,B21&lt;&gt;B20),100000,K20-L20)</x:f>
        <x:v>100000</x:v>
      </x:c>
      <x:c r="L21" s="14" t="n">
        <x:f>K21*J21</x:f>
        <x:v>377.010515345516</x:v>
      </x:c>
      <x:c r="M21" s="14" t="n">
        <x:f>IF(C21=85,K21/I21,E21*K21-(E21-F21)*L21)</x:f>
        <x:v>99660.69053618904</x:v>
      </x:c>
      <x:c r="N21" s="14" t="n">
        <x:f>SUMIFS(M:M,A:A,A21,B:B,B21,C:C,"&gt;="&amp;C21)</x:f>
        <x:v>8029999.876570238</x:v>
      </x:c>
      <x:c r="O21" s="14" t="n">
        <x:f>N21/K21</x:f>
        <x:v>80.29999876570238</x:v>
      </x:c>
      <x:c r="P21" s="14" t="n">
        <x:f>IF(C21=0,85-O21,"")</x:f>
        <x:v>4.700001234297616</x:v>
      </x:c>
    </x:row>
    <x:row r="22">
      <x:c r="A22" s="14" t="n">
        <x:v>2010</x:v>
      </x:c>
      <x:c r="B22" s="14" t="str">
        <x:v>Mujeres</x:v>
      </x:c>
      <x:c r="C22" s="14" t="n">
        <x:v>1</x:v>
      </x:c>
      <x:c r="D22" s="14" t="str">
        <x:v>1-4</x:v>
      </x:c>
      <x:c r="E22" s="14" t="n">
        <x:v>4</x:v>
      </x:c>
      <x:c r="F22" s="14" t="n">
        <x:v>2</x:v>
      </x:c>
      <x:c r="G22" s="14" t="n">
        <x:v>144956</x:v>
      </x:c>
      <x:c r="H22" s="14" t="n">
        <x:v>32.37</x:v>
      </x:c>
      <x:c r="I22" s="14" t="n">
        <x:f>IFERROR(H22/G22,0)</x:f>
        <x:v>0.0002233091420844946</x:v>
      </x:c>
      <x:c r="J22" s="14" t="n">
        <x:f>IF(C22=85,1,(E22*I22)/(1+(E22-IF(F22="",E22/2,F22))*I22))</x:f>
        <x:v>0.0008928378106469461</x:v>
      </x:c>
      <x:c r="K22" s="14" t="n">
        <x:f>IF(OR(ROW()=2,A22&lt;&gt;A21,B22&lt;&gt;B21),100000,K21-L21)</x:f>
        <x:v>99622.98948465448</x:v>
      </x:c>
      <x:c r="L22" s="14" t="n">
        <x:f>K22*J22</x:f>
        <x:v>88.94717182158264</x:v>
      </x:c>
      <x:c r="M22" s="14" t="n">
        <x:f>IF(C22=85,K22/I22,E22*K22-(E22-F22)*L22)</x:f>
        <x:v>398314.06359497475</x:v>
      </x:c>
      <x:c r="N22" s="14" t="n">
        <x:f>SUMIFS(M:M,A:A,A22,B:B,B22,C:C,"&gt;="&amp;C22)</x:f>
        <x:v>7930339.186034048</x:v>
      </x:c>
      <x:c r="O22" s="14" t="n">
        <x:f>N22/K22</x:f>
        <x:v>79.60350544645726</x:v>
      </x:c>
      <x:c r="P22" s="14" t="str">
        <x:f>IF(C22=0,85-O22,"")</x:f>
      </x:c>
    </x:row>
    <x:row r="23">
      <x:c r="A23" s="14" t="n">
        <x:v>2010</x:v>
      </x:c>
      <x:c r="B23" s="14" t="str">
        <x:v>Mujeres</x:v>
      </x:c>
      <x:c r="C23" s="14" t="n">
        <x:v>5</x:v>
      </x:c>
      <x:c r="D23" s="14" t="str">
        <x:v>5-9</x:v>
      </x:c>
      <x:c r="E23" s="14" t="n">
        <x:v>5</x:v>
      </x:c>
      <x:c r="F23" s="14" t="n">
        <x:v>2.5</x:v>
      </x:c>
      <x:c r="G23" s="14" t="n">
        <x:v>193275</x:v>
      </x:c>
      <x:c r="H23" s="14" t="n">
        <x:v>17.26</x:v>
      </x:c>
      <x:c r="I23" s="14" t="n">
        <x:f>IFERROR(H23/G23,0)</x:f>
        <x:v>0.00008930280688138664</x:v>
      </x:c>
      <x:c r="J23" s="14" t="n">
        <x:f>IF(C23=85,1,(E23*I23)/(1+(E23-IF(F23="",E23/2,F23))*I23))</x:f>
        <x:v>0.00044641436926641406</x:v>
      </x:c>
      <x:c r="K23" s="14" t="n">
        <x:f>IF(OR(ROW()=2,A23&lt;&gt;A22,B23&lt;&gt;B22),100000,K22-L22)</x:f>
        <x:v>99534.0423128329</x:v>
      </x:c>
      <x:c r="L23" s="14" t="n">
        <x:f>K23*J23</x:f>
        <x:v>44.43342671961987</x:v>
      </x:c>
      <x:c r="M23" s="14" t="n">
        <x:f>IF(C23=85,K23/I23,E23*K23-(E23-F23)*L23)</x:f>
        <x:v>497559.12799736543</x:v>
      </x:c>
      <x:c r="N23" s="14" t="n">
        <x:f>SUMIFS(M:M,A:A,A23,B:B,B23,C:C,"&gt;="&amp;C23)</x:f>
        <x:v>7532025.122439073</x:v>
      </x:c>
      <x:c r="O23" s="14" t="n">
        <x:f>N23/K23</x:f>
        <x:v>75.67285470800145</x:v>
      </x:c>
      <x:c r="P23" s="14" t="str">
        <x:f>IF(C23=0,85-O23,"")</x:f>
      </x:c>
    </x:row>
    <x:row r="24">
      <x:c r="A24" s="14" t="n">
        <x:v>2010</x:v>
      </x:c>
      <x:c r="B24" s="14" t="str">
        <x:v>Mujeres</x:v>
      </x:c>
      <x:c r="C24" s="14" t="n">
        <x:v>10</x:v>
      </x:c>
      <x:c r="D24" s="14" t="str">
        <x:v>10-14</x:v>
      </x:c>
      <x:c r="E24" s="14" t="n">
        <x:v>5</x:v>
      </x:c>
      <x:c r="F24" s="14" t="n">
        <x:v>2.5</x:v>
      </x:c>
      <x:c r="G24" s="14" t="n">
        <x:v>193275</x:v>
      </x:c>
      <x:c r="H24" s="14" t="n">
        <x:v>21.1</x:v>
      </x:c>
      <x:c r="I24" s="14" t="n">
        <x:f>IFERROR(H24/G24,0)</x:f>
        <x:v>0.00010917087052127797</x:v>
      </x:c>
      <x:c r="J24" s="14" t="n">
        <x:f>IF(C24=85,1,(E24*I24)/(1+(E24-IF(F24="",E24/2,F24))*I24))</x:f>
        <x:v>0.0005457054147684438</x:v>
      </x:c>
      <x:c r="K24" s="14" t="n">
        <x:f>IF(OR(ROW()=2,A24&lt;&gt;A23,B24&lt;&gt;B23),100000,K23-L23)</x:f>
        <x:v>99489.60888611327</x:v>
      </x:c>
      <x:c r="L24" s="14" t="n">
        <x:f>K24*J24</x:f>
        <x:v>54.292018282346696</x:v>
      </x:c>
      <x:c r="M24" s="14" t="n">
        <x:f>IF(C24=85,K24/I24,E24*K24-(E24-F24)*L24)</x:f>
        <x:v>497312.3143848605</x:v>
      </x:c>
      <x:c r="N24" s="14" t="n">
        <x:f>SUMIFS(M:M,A:A,A24,B:B,B24,C:C,"&gt;="&amp;C24)</x:f>
        <x:v>7034465.994441709</x:v>
      </x:c>
      <x:c r="O24" s="14" t="n">
        <x:f>N24/K24</x:f>
        <x:v>70.70553471060612</x:v>
      </x:c>
      <x:c r="P24" s="14" t="str">
        <x:f>IF(C24=0,85-O24,"")</x:f>
      </x:c>
    </x:row>
    <x:row r="25">
      <x:c r="A25" s="14" t="n">
        <x:v>2010</x:v>
      </x:c>
      <x:c r="B25" s="14" t="str">
        <x:v>Mujeres</x:v>
      </x:c>
      <x:c r="C25" s="14" t="n">
        <x:v>15</x:v>
      </x:c>
      <x:c r="D25" s="14" t="str">
        <x:v>15-19</x:v>
      </x:c>
      <x:c r="E25" s="14" t="n">
        <x:v>5</x:v>
      </x:c>
      <x:c r="F25" s="14" t="n">
        <x:v>2.5</x:v>
      </x:c>
      <x:c r="G25" s="14" t="n">
        <x:v>181196</x:v>
      </x:c>
      <x:c r="H25" s="14" t="n">
        <x:v>32.37</x:v>
      </x:c>
      <x:c r="I25" s="14" t="n">
        <x:f>IFERROR(H25/G25,0)</x:f>
        <x:v>0.00017864632773350404</x:v>
      </x:c>
      <x:c r="J25" s="14" t="n">
        <x:f>IF(C25=85,1,(E25*I25)/(1+(E25-IF(F25="",E25/2,F25))*I25))</x:f>
        <x:v>0.0008928328853768895</x:v>
      </x:c>
      <x:c r="K25" s="14" t="n">
        <x:f>IF(OR(ROW()=2,A25&lt;&gt;A24,B25&lt;&gt;B24),100000,K24-L24)</x:f>
        <x:v>99435.31686783093</x:v>
      </x:c>
      <x:c r="L25" s="14" t="n">
        <x:f>K25*J25</x:f>
        <x:v>88.77912086747078</x:v>
      </x:c>
      <x:c r="M25" s="14" t="n">
        <x:f>IF(C25=85,K25/I25,E25*K25-(E25-F25)*L25)</x:f>
        <x:v>496954.636536986</x:v>
      </x:c>
      <x:c r="N25" s="14" t="n">
        <x:f>SUMIFS(M:M,A:A,A25,B:B,B25,C:C,"&gt;="&amp;C25)</x:f>
        <x:v>6537153.680056848</x:v>
      </x:c>
      <x:c r="O25" s="14" t="n">
        <x:f>N25/K25</x:f>
        <x:v>65.74277516253113</x:v>
      </x:c>
      <x:c r="P25" s="14" t="str">
        <x:f>IF(C25=0,85-O25,"")</x:f>
      </x:c>
    </x:row>
    <x:row r="26">
      <x:c r="A26" s="14" t="n">
        <x:v>2010</x:v>
      </x:c>
      <x:c r="B26" s="14" t="str">
        <x:v>Mujeres</x:v>
      </x:c>
      <x:c r="C26" s="14" t="n">
        <x:v>20</x:v>
      </x:c>
      <x:c r="D26" s="14" t="str">
        <x:v>20-24</x:v>
      </x:c>
      <x:c r="E26" s="14" t="n">
        <x:v>5</x:v>
      </x:c>
      <x:c r="F26" s="14" t="n">
        <x:v>2.5</x:v>
      </x:c>
      <x:c r="G26" s="14" t="n">
        <x:v>181196</x:v>
      </x:c>
      <x:c r="H26" s="14" t="n">
        <x:v>43.17</x:v>
      </x:c>
      <x:c r="I26" s="14" t="n">
        <x:f>IFERROR(H26/G26,0)</x:f>
        <x:v>0.00023825029250093823</x:v>
      </x:c>
      <x:c r="J26" s="14" t="n">
        <x:f>IF(C26=85,1,(E26*I26)/(1+(E26-IF(F26="",E26/2,F26))*I26))</x:f>
        <x:v>0.0011905423448499532</x:v>
      </x:c>
      <x:c r="K26" s="14" t="n">
        <x:f>IF(OR(ROW()=2,A26&lt;&gt;A25,B26&lt;&gt;B25),100000,K25-L25)</x:f>
        <x:v>99346.53774696345</x:v>
      </x:c>
      <x:c r="L26" s="14" t="n">
        <x:f>K26*J26</x:f>
        <x:v>118.27626000199426</x:v>
      </x:c>
      <x:c r="M26" s="14" t="n">
        <x:f>IF(C26=85,K26/I26,E26*K26-(E26-F26)*L26)</x:f>
        <x:v>496436.99808481225</x:v>
      </x:c>
      <x:c r="N26" s="14" t="n">
        <x:f>SUMIFS(M:M,A:A,A26,B:B,B26,C:C,"&gt;="&amp;C26)</x:f>
        <x:v>6040199.043519861</x:v>
      </x:c>
      <x:c r="O26" s="14" t="n">
        <x:f>N26/K26</x:f>
        <x:v>60.799290851023954</x:v>
      </x:c>
      <x:c r="P26" s="14" t="str">
        <x:f>IF(C26=0,85-O26,"")</x:f>
      </x:c>
    </x:row>
    <x:row r="27">
      <x:c r="A27" s="14" t="n">
        <x:v>2010</x:v>
      </x:c>
      <x:c r="B27" s="14" t="str">
        <x:v>Mujeres</x:v>
      </x:c>
      <x:c r="C27" s="14" t="n">
        <x:v>25</x:v>
      </x:c>
      <x:c r="D27" s="14" t="str">
        <x:v>25-29</x:v>
      </x:c>
      <x:c r="E27" s="14" t="n">
        <x:v>5</x:v>
      </x:c>
      <x:c r="F27" s="14" t="n">
        <x:v>2.5</x:v>
      </x:c>
      <x:c r="G27" s="14" t="n">
        <x:v>169116</x:v>
      </x:c>
      <x:c r="H27" s="14" t="n">
        <x:v>53.73</x:v>
      </x:c>
      <x:c r="I27" s="14" t="n">
        <x:f>IFERROR(H27/G27,0)</x:f>
        <x:v>0.00031771092031505</x:v>
      </x:c>
      <x:c r="J27" s="14" t="n">
        <x:f>IF(C27=85,1,(E27*I27)/(1+(E27-IF(F27="",E27/2,F27))*I27))</x:f>
        <x:v>0.0015872938501004354</x:v>
      </x:c>
      <x:c r="K27" s="14" t="n">
        <x:f>IF(OR(ROW()=2,A27&lt;&gt;A26,B27&lt;&gt;B26),100000,K26-L26)</x:f>
        <x:v>99228.26148696146</x:v>
      </x:c>
      <x:c r="L27" s="14" t="n">
        <x:f>K27*J27</x:f>
        <x:v>157.50440921441182</x:v>
      </x:c>
      <x:c r="M27" s="14" t="n">
        <x:f>IF(C27=85,K27/I27,E27*K27-(E27-F27)*L27)</x:f>
        <x:v>495747.54641177127</x:v>
      </x:c>
      <x:c r="N27" s="14" t="n">
        <x:f>SUMIFS(M:M,A:A,A27,B:B,B27,C:C,"&gt;="&amp;C27)</x:f>
        <x:v>5543762.045435049</x:v>
      </x:c>
      <x:c r="O27" s="14" t="n">
        <x:f>N27/K27</x:f>
        <x:v>55.86878135684657</x:v>
      </x:c>
      <x:c r="P27" s="14" t="str">
        <x:f>IF(C27=0,85-O27,"")</x:f>
      </x:c>
    </x:row>
    <x:row r="28">
      <x:c r="A28" s="14" t="n">
        <x:v>2010</x:v>
      </x:c>
      <x:c r="B28" s="14" t="str">
        <x:v>Mujeres</x:v>
      </x:c>
      <x:c r="C28" s="14" t="n">
        <x:v>30</x:v>
      </x:c>
      <x:c r="D28" s="14" t="str">
        <x:v>30-34</x:v>
      </x:c>
      <x:c r="E28" s="14" t="n">
        <x:v>5</x:v>
      </x:c>
      <x:c r="F28" s="14" t="n">
        <x:v>2.5</x:v>
      </x:c>
      <x:c r="G28" s="14" t="n">
        <x:v>169116</x:v>
      </x:c>
      <x:c r="H28" s="14" t="n">
        <x:v>73.9</x:v>
      </x:c>
      <x:c r="I28" s="14" t="n">
        <x:f>IFERROR(H28/G28,0)</x:f>
        <x:v>0.0004369781688308617</x:v>
      </x:c>
      <x:c r="J28" s="14" t="n">
        <x:f>IF(C28=85,1,(E28*I28)/(1+(E28-IF(F28="",E28/2,F28))*I28))</x:f>
        <x:v>0.0021825065748379735</x:v>
      </x:c>
      <x:c r="K28" s="14" t="n">
        <x:f>IF(OR(ROW()=2,A28&lt;&gt;A27,B28&lt;&gt;B27),100000,K27-L27)</x:f>
        <x:v>99070.75707774705</x:v>
      </x:c>
      <x:c r="L28" s="14" t="n">
        <x:f>K28*J28</x:f>
        <x:v>216.22257869635865</x:v>
      </x:c>
      <x:c r="M28" s="14" t="n">
        <x:f>IF(C28=85,K28/I28,E28*K28-(E28-F28)*L28)</x:f>
        <x:v>494813.22894199437</x:v>
      </x:c>
      <x:c r="N28" s="14" t="n">
        <x:f>SUMIFS(M:M,A:A,A28,B:B,B28,C:C,"&gt;="&amp;C28)</x:f>
        <x:v>5048014.499023277</x:v>
      </x:c>
      <x:c r="O28" s="14" t="n">
        <x:f>N28/K28</x:f>
        <x:v>50.95362797179175</x:v>
      </x:c>
      <x:c r="P28" s="14" t="str">
        <x:f>IF(C28=0,85-O28,"")</x:f>
      </x:c>
    </x:row>
    <x:row r="29">
      <x:c r="A29" s="14" t="n">
        <x:v>2010</x:v>
      </x:c>
      <x:c r="B29" s="14" t="str">
        <x:v>Mujeres</x:v>
      </x:c>
      <x:c r="C29" s="14" t="n">
        <x:v>35</x:v>
      </x:c>
      <x:c r="D29" s="14" t="str">
        <x:v>35-39</x:v>
      </x:c>
      <x:c r="E29" s="14" t="n">
        <x:v>5</x:v>
      </x:c>
      <x:c r="F29" s="14" t="n">
        <x:v>2.5</x:v>
      </x:c>
      <x:c r="G29" s="14" t="n">
        <x:v>157036</x:v>
      </x:c>
      <x:c r="H29" s="14" t="n">
        <x:v>99.87</x:v>
      </x:c>
      <x:c r="I29" s="14" t="n">
        <x:f>IFERROR(H29/G29,0)</x:f>
        <x:v>0.0006359688224356199</x:v>
      </x:c>
      <x:c r="J29" s="14" t="n">
        <x:f>IF(C29=85,1,(E29*I29)/(1+(E29-IF(F29="",E29/2,F29))*I29))</x:f>
        <x:v>0.003174796433305195</x:v>
      </x:c>
      <x:c r="K29" s="14" t="n">
        <x:f>IF(OR(ROW()=2,A29&lt;&gt;A28,B29&lt;&gt;B28),100000,K28-L28)</x:f>
        <x:v>98854.5344990507</x:v>
      </x:c>
      <x:c r="L29" s="14" t="n">
        <x:f>K29*J29</x:f>
        <x:v>313.8430235436315</x:v>
      </x:c>
      <x:c r="M29" s="14" t="n">
        <x:f>IF(C29=85,K29/I29,E29*K29-(E29-F29)*L29)</x:f>
        <x:v>493488.0649363944</x:v>
      </x:c>
      <x:c r="N29" s="14" t="n">
        <x:f>SUMIFS(M:M,A:A,A29,B:B,B29,C:C,"&gt;="&amp;C29)</x:f>
        <x:v>4553201.2700812835</x:v>
      </x:c>
      <x:c r="O29" s="14" t="n">
        <x:f>N29/K29</x:f>
        <x:v>46.05960963910065</x:v>
      </x:c>
      <x:c r="P29" s="14" t="str">
        <x:f>IF(C29=0,85-O29,"")</x:f>
      </x:c>
    </x:row>
    <x:row r="30">
      <x:c r="A30" s="14" t="n">
        <x:v>2010</x:v>
      </x:c>
      <x:c r="B30" s="14" t="str">
        <x:v>Mujeres</x:v>
      </x:c>
      <x:c r="C30" s="14" t="n">
        <x:v>40</x:v>
      </x:c>
      <x:c r="D30" s="14" t="str">
        <x:v>40-44</x:v>
      </x:c>
      <x:c r="E30" s="14" t="n">
        <x:v>5</x:v>
      </x:c>
      <x:c r="F30" s="14" t="n">
        <x:v>2.5</x:v>
      </x:c>
      <x:c r="G30" s="14" t="n">
        <x:v>144956</x:v>
      </x:c>
      <x:c r="H30" s="14" t="n">
        <x:v>144.17</x:v>
      </x:c>
      <x:c r="I30" s="14" t="n">
        <x:f>IFERROR(H30/G30,0)</x:f>
        <x:v>0.0009945776649466045</x:v>
      </x:c>
      <x:c r="J30" s="14" t="n">
        <x:f>IF(C30=85,1,(E30*I30)/(1+(E30-IF(F30="",E30/2,F30))*I30))</x:f>
        <x:v>0.004960554183740758</x:v>
      </x:c>
      <x:c r="K30" s="14" t="n">
        <x:f>IF(OR(ROW()=2,A30&lt;&gt;A29,B30&lt;&gt;B29),100000,K29-L29)</x:f>
        <x:v>98540.69147550708</x:v>
      </x:c>
      <x:c r="L30" s="14" t="n">
        <x:f>K30*J30</x:f>
        <x:v>488.81643936753386</x:v>
      </x:c>
      <x:c r="M30" s="14" t="n">
        <x:f>IF(C30=85,K30/I30,E30*K30-(E30-F30)*L30)</x:f>
        <x:v>491481.4162791166</x:v>
      </x:c>
      <x:c r="N30" s="14" t="n">
        <x:f>SUMIFS(M:M,A:A,A30,B:B,B30,C:C,"&gt;="&amp;C30)</x:f>
        <x:v>4059713.2051448906</x:v>
      </x:c>
      <x:c r="O30" s="14" t="n">
        <x:f>N30/K30</x:f>
        <x:v>41.19834298254299</x:v>
      </x:c>
      <x:c r="P30" s="14" t="str">
        <x:f>IF(C30=0,85-O30,"")</x:f>
      </x:c>
    </x:row>
    <x:row r="31">
      <x:c r="A31" s="14" t="n">
        <x:v>2010</x:v>
      </x:c>
      <x:c r="B31" s="14" t="str">
        <x:v>Mujeres</x:v>
      </x:c>
      <x:c r="C31" s="14" t="n">
        <x:v>45</x:v>
      </x:c>
      <x:c r="D31" s="14" t="str">
        <x:v>45-49</x:v>
      </x:c>
      <x:c r="E31" s="14" t="n">
        <x:v>5</x:v>
      </x:c>
      <x:c r="F31" s="14" t="n">
        <x:v>2.5</x:v>
      </x:c>
      <x:c r="G31" s="14" t="n">
        <x:v>132877</x:v>
      </x:c>
      <x:c r="H31" s="14" t="n">
        <x:v>225.06</x:v>
      </x:c>
      <x:c r="I31" s="14" t="n">
        <x:f>IFERROR(H31/G31,0)</x:f>
        <x:v>0.0016937468485892968</x:v>
      </x:c>
      <x:c r="J31" s="14" t="n">
        <x:f>IF(C31=85,1,(E31*I31)/(1+(E31-IF(F31="",E31/2,F31))*I31))</x:f>
        <x:v>0.008433025716119608</x:v>
      </x:c>
      <x:c r="K31" s="14" t="n">
        <x:f>IF(OR(ROW()=2,A31&lt;&gt;A30,B31&lt;&gt;B30),100000,K30-L30)</x:f>
        <x:v>98051.87503613954</x:v>
      </x:c>
      <x:c r="L31" s="14" t="n">
        <x:f>K31*J31</x:f>
        <x:v>826.8739836935109</x:v>
      </x:c>
      <x:c r="M31" s="14" t="n">
        <x:f>IF(C31=85,K31/I31,E31*K31-(E31-F31)*L31)</x:f>
        <x:v>488192.19022146385</x:v>
      </x:c>
      <x:c r="N31" s="14" t="n">
        <x:f>SUMIFS(M:M,A:A,A31,B:B,B31,C:C,"&gt;="&amp;C31)</x:f>
        <x:v>3568231.788865774</x:v>
      </x:c>
      <x:c r="O31" s="14" t="n">
        <x:f>N31/K31</x:f>
        <x:v>36.39126521089587</x:v>
      </x:c>
      <x:c r="P31" s="14" t="str">
        <x:f>IF(C31=0,85-O31,"")</x:f>
      </x:c>
    </x:row>
    <x:row r="32">
      <x:c r="A32" s="14" t="n">
        <x:v>2010</x:v>
      </x:c>
      <x:c r="B32" s="14" t="str">
        <x:v>Mujeres</x:v>
      </x:c>
      <x:c r="C32" s="14" t="n">
        <x:v>50</x:v>
      </x:c>
      <x:c r="D32" s="14" t="str">
        <x:v>50-54</x:v>
      </x:c>
      <x:c r="E32" s="14" t="n">
        <x:v>5</x:v>
      </x:c>
      <x:c r="F32" s="14" t="n">
        <x:v>2.5</x:v>
      </x:c>
      <x:c r="G32" s="14" t="n">
        <x:v>120797</x:v>
      </x:c>
      <x:c r="H32" s="14" t="n">
        <x:v>337.91</x:v>
      </x:c>
      <x:c r="I32" s="14" t="n">
        <x:f>IFERROR(H32/G32,0)</x:f>
        <x:v>0.002797337682227208</x:v>
      </x:c>
      <x:c r="J32" s="14" t="n">
        <x:f>IF(C32=85,1,(E32*I32)/(1+(E32-IF(F32="",E32/2,F32))*I32))</x:f>
        <x:v>0.013889553979296997</x:v>
      </x:c>
      <x:c r="K32" s="14" t="n">
        <x:f>IF(OR(ROW()=2,A32&lt;&gt;A31,B32&lt;&gt;B31),100000,K31-L31)</x:f>
        <x:v>97225.00105244602</x:v>
      </x:c>
      <x:c r="L32" s="14" t="n">
        <x:f>K32*J32</x:f>
        <x:v>1350.4119002551563</x:v>
      </x:c>
      <x:c r="M32" s="14" t="n">
        <x:f>IF(C32=85,K32/I32,E32*K32-(E32-F32)*L32)</x:f>
        <x:v>482748.97551159223</x:v>
      </x:c>
      <x:c r="N32" s="14" t="n">
        <x:f>SUMIFS(M:M,A:A,A32,B:B,B32,C:C,"&gt;="&amp;C32)</x:f>
        <x:v>3080039.5986443097</x:v>
      </x:c>
      <x:c r="O32" s="14" t="n">
        <x:f>N32/K32</x:f>
        <x:v>31.679501828782143</x:v>
      </x:c>
      <x:c r="P32" s="14" t="str">
        <x:f>IF(C32=0,85-O32,"")</x:f>
      </x:c>
    </x:row>
    <x:row r="33">
      <x:c r="A33" s="14" t="n">
        <x:v>2010</x:v>
      </x:c>
      <x:c r="B33" s="14" t="str">
        <x:v>Mujeres</x:v>
      </x:c>
      <x:c r="C33" s="14" t="n">
        <x:v>55</x:v>
      </x:c>
      <x:c r="D33" s="14" t="str">
        <x:v>55-59</x:v>
      </x:c>
      <x:c r="E33" s="14" t="n">
        <x:v>5</x:v>
      </x:c>
      <x:c r="F33" s="14" t="n">
        <x:v>2.5</x:v>
      </x:c>
      <x:c r="G33" s="14" t="n">
        <x:v>108717</x:v>
      </x:c>
      <x:c r="H33" s="14" t="n">
        <x:v>523.96</x:v>
      </x:c>
      <x:c r="I33" s="14" t="n">
        <x:f>IFERROR(H33/G33,0)</x:f>
        <x:v>0.00481948545305702</x:v>
      </x:c>
      <x:c r="J33" s="14" t="n">
        <x:f>IF(C33=85,1,(E33*I33)/(1+(E33-IF(F33="",E33/2,F33))*I33))</x:f>
        <x:v>0.023810540876821943</x:v>
      </x:c>
      <x:c r="K33" s="14" t="n">
        <x:f>IF(OR(ROW()=2,A33&lt;&gt;A32,B33&lt;&gt;B32),100000,K32-L32)</x:f>
        <x:v>95874.58915219086</x:v>
      </x:c>
      <x:c r="L33" s="14" t="n">
        <x:f>K33*J33</x:f>
        <x:v>2282.82582405675</x:v>
      </x:c>
      <x:c r="M33" s="14" t="n">
        <x:f>IF(C33=85,K33/I33,E33*K33-(E33-F33)*L33)</x:f>
        <x:v>473665.8812008124</x:v>
      </x:c>
      <x:c r="N33" s="14" t="n">
        <x:f>SUMIFS(M:M,A:A,A33,B:B,B33,C:C,"&gt;="&amp;C33)</x:f>
        <x:v>2597290.623132718</x:v>
      </x:c>
      <x:c r="O33" s="14" t="n">
        <x:f>N33/K33</x:f>
        <x:v>27.090500685325402</x:v>
      </x:c>
      <x:c r="P33" s="14" t="str">
        <x:f>IF(C33=0,85-O33,"")</x:f>
      </x:c>
    </x:row>
    <x:row r="34">
      <x:c r="A34" s="14" t="n">
        <x:v>2010</x:v>
      </x:c>
      <x:c r="B34" s="14" t="str">
        <x:v>Mujeres</x:v>
      </x:c>
      <x:c r="C34" s="14" t="n">
        <x:v>60</x:v>
      </x:c>
      <x:c r="D34" s="14" t="str">
        <x:v>60-64</x:v>
      </x:c>
      <x:c r="E34" s="14" t="n">
        <x:v>5</x:v>
      </x:c>
      <x:c r="F34" s="14" t="n">
        <x:v>2.5</x:v>
      </x:c>
      <x:c r="G34" s="14" t="n">
        <x:v>96638</x:v>
      </x:c>
      <x:c r="H34" s="14" t="n">
        <x:v>782.52</x:v>
      </x:c>
      <x:c r="I34" s="14" t="n">
        <x:f>IFERROR(H34/G34,0)</x:f>
        <x:v>0.008097435791303629</x:v>
      </x:c>
      <x:c r="J34" s="14" t="n">
        <x:f>IF(C34=85,1,(E34*I34)/(1+(E34-IF(F34="",E34/2,F34))*I34))</x:f>
        <x:v>0.03968383567812744</x:v>
      </x:c>
      <x:c r="K34" s="14" t="n">
        <x:f>IF(OR(ROW()=2,A34&lt;&gt;A33,B34&lt;&gt;B33),100000,K33-L33)</x:f>
        <x:v>93591.76332813411</x:v>
      </x:c>
      <x:c r="L34" s="14" t="n">
        <x:f>K34*J34</x:f>
        <x:v>3714.0801567398676</x:v>
      </x:c>
      <x:c r="M34" s="14" t="n">
        <x:f>IF(C34=85,K34/I34,E34*K34-(E34-F34)*L34)</x:f>
        <x:v>458673.61624882085</x:v>
      </x:c>
      <x:c r="N34" s="14" t="n">
        <x:f>SUMIFS(M:M,A:A,A34,B:B,B34,C:C,"&gt;="&amp;C34)</x:f>
        <x:v>2123624.741931905</x:v>
      </x:c>
      <x:c r="O34" s="14" t="n">
        <x:f>N34/K34</x:f>
        <x:v>22.690295239832647</x:v>
      </x:c>
      <x:c r="P34" s="14" t="str">
        <x:f>IF(C34=0,85-O34,"")</x:f>
      </x:c>
    </x:row>
    <x:row r="35">
      <x:c r="A35" s="14" t="n">
        <x:v>2010</x:v>
      </x:c>
      <x:c r="B35" s="14" t="str">
        <x:v>Mujeres</x:v>
      </x:c>
      <x:c r="C35" s="14" t="n">
        <x:v>65</x:v>
      </x:c>
      <x:c r="D35" s="14" t="str">
        <x:v>65-69</x:v>
      </x:c>
      <x:c r="E35" s="14" t="n">
        <x:v>5</x:v>
      </x:c>
      <x:c r="F35" s="14" t="n">
        <x:v>2.5</x:v>
      </x:c>
      <x:c r="G35" s="14" t="n">
        <x:v>84558</x:v>
      </x:c>
      <x:c r="H35" s="14" t="n">
        <x:v>1126.91</x:v>
      </x:c>
      <x:c r="I35" s="14" t="n">
        <x:f>IFERROR(H35/G35,0)</x:f>
        <x:v>0.013327065446202607</x:v>
      </x:c>
      <x:c r="J35" s="14" t="n">
        <x:f>IF(C35=85,1,(E35*I35)/(1+(E35-IF(F35="",E35/2,F35))*I35))</x:f>
        <x:v>0.06448677843932393</x:v>
      </x:c>
      <x:c r="K35" s="14" t="n">
        <x:f>IF(OR(ROW()=2,A35&lt;&gt;A34,B35&lt;&gt;B34),100000,K34-L34)</x:f>
        <x:v>89877.68317139424</x:v>
      </x:c>
      <x:c r="L35" s="14" t="n">
        <x:f>K35*J35</x:f>
        <x:v>5795.922241313453</x:v>
      </x:c>
      <x:c r="M35" s="14" t="n">
        <x:f>IF(C35=85,K35/I35,E35*K35-(E35-F35)*L35)</x:f>
        <x:v>434898.61025368754</x:v>
      </x:c>
      <x:c r="N35" s="14" t="n">
        <x:f>SUMIFS(M:M,A:A,A35,B:B,B35,C:C,"&gt;="&amp;C35)</x:f>
        <x:v>1664951.1256830841</x:v>
      </x:c>
      <x:c r="O35" s="14" t="n">
        <x:f>N35/K35</x:f>
        <x:v>18.524633334262397</x:v>
      </x:c>
      <x:c r="P35" s="14" t="str">
        <x:f>IF(C35=0,85-O35,"")</x:f>
      </x:c>
    </x:row>
    <x:row r="36">
      <x:c r="A36" s="14" t="n">
        <x:v>2010</x:v>
      </x:c>
      <x:c r="B36" s="14" t="str">
        <x:v>Mujeres</x:v>
      </x:c>
      <x:c r="C36" s="14" t="n">
        <x:v>70</x:v>
      </x:c>
      <x:c r="D36" s="14" t="str">
        <x:v>70-74</x:v>
      </x:c>
      <x:c r="E36" s="14" t="n">
        <x:v>5</x:v>
      </x:c>
      <x:c r="F36" s="14" t="n">
        <x:v>2.5</x:v>
      </x:c>
      <x:c r="G36" s="14" t="n">
        <x:v>72478</x:v>
      </x:c>
      <x:c r="H36" s="14" t="n">
        <x:v>1592.99</x:v>
      </x:c>
      <x:c r="I36" s="14" t="n">
        <x:f>IFERROR(H36/G36,0)</x:f>
        <x:v>0.02197894533513618</x:v>
      </x:c>
      <x:c r="J36" s="14" t="n">
        <x:f>IF(C36=85,1,(E36*I36)/(1+(E36-IF(F36="",E36/2,F36))*I36))</x:f>
        <x:v>0.10417081505182905</x:v>
      </x:c>
      <x:c r="K36" s="14" t="n">
        <x:f>IF(OR(ROW()=2,A36&lt;&gt;A35,B36&lt;&gt;B35),100000,K35-L35)</x:f>
        <x:v>84081.76093008078</x:v>
      </x:c>
      <x:c r="L36" s="14" t="n">
        <x:f>K36*J36</x:f>
        <x:v>8758.86556707955</x:v>
      </x:c>
      <x:c r="M36" s="14" t="n">
        <x:f>IF(C36=85,K36/I36,E36*K36-(E36-F36)*L36)</x:f>
        <x:v>398511.640732705</x:v>
      </x:c>
      <x:c r="N36" s="14" t="n">
        <x:f>SUMIFS(M:M,A:A,A36,B:B,B36,C:C,"&gt;="&amp;C36)</x:f>
        <x:v>1230052.5154293966</x:v>
      </x:c>
      <x:c r="O36" s="14" t="n">
        <x:f>N36/K36</x:f>
        <x:v>14.629243034672667</x:v>
      </x:c>
      <x:c r="P36" s="14" t="str">
        <x:f>IF(C36=0,85-O36,"")</x:f>
      </x:c>
    </x:row>
    <x:row r="37">
      <x:c r="A37" s="14" t="n">
        <x:v>2010</x:v>
      </x:c>
      <x:c r="B37" s="14" t="str">
        <x:v>Mujeres</x:v>
      </x:c>
      <x:c r="C37" s="14" t="n">
        <x:v>75</x:v>
      </x:c>
      <x:c r="D37" s="14" t="str">
        <x:v>75-79</x:v>
      </x:c>
      <x:c r="E37" s="14" t="n">
        <x:v>5</x:v>
      </x:c>
      <x:c r="F37" s="14" t="n">
        <x:v>2.5</x:v>
      </x:c>
      <x:c r="G37" s="14" t="n">
        <x:v>60399</x:v>
      </x:c>
      <x:c r="H37" s="14" t="n">
        <x:v>2224.96</x:v>
      </x:c>
      <x:c r="I37" s="14" t="n">
        <x:f>IFERROR(H37/G37,0)</x:f>
        <x:v>0.03683769598834418</x:v>
      </x:c>
      <x:c r="J37" s="14" t="n">
        <x:f>IF(C37=85,1,(E37*I37)/(1+(E37-IF(F37="",E37/2,F37))*I37))</x:f>
        <x:v>0.16865621408884593</x:v>
      </x:c>
      <x:c r="K37" s="14" t="n">
        <x:f>IF(OR(ROW()=2,A37&lt;&gt;A36,B37&lt;&gt;B36),100000,K36-L36)</x:f>
        <x:v>75322.89536300123</x:v>
      </x:c>
      <x:c r="L37" s="14" t="n">
        <x:f>K37*J37</x:f>
        <x:v>12703.674366134075</x:v>
      </x:c>
      <x:c r="M37" s="14" t="n">
        <x:f>IF(C37=85,K37/I37,E37*K37-(E37-F37)*L37)</x:f>
        <x:v>344855.2908996709</x:v>
      </x:c>
      <x:c r="N37" s="14" t="n">
        <x:f>SUMIFS(M:M,A:A,A37,B:B,B37,C:C,"&gt;="&amp;C37)</x:f>
        <x:v>831540.8746966915</x:v>
      </x:c>
      <x:c r="O37" s="14" t="n">
        <x:f>N37/K37</x:f>
        <x:v>11.039682830688772</x:v>
      </x:c>
      <x:c r="P37" s="14" t="str">
        <x:f>IF(C37=0,85-O37,"")</x:f>
      </x:c>
    </x:row>
    <x:row r="38">
      <x:c r="A38" s="14" t="n">
        <x:v>2010</x:v>
      </x:c>
      <x:c r="B38" s="14" t="str">
        <x:v>Mujeres</x:v>
      </x:c>
      <x:c r="C38" s="14" t="n">
        <x:v>80</x:v>
      </x:c>
      <x:c r="D38" s="14" t="str">
        <x:v>80-84</x:v>
      </x:c>
      <x:c r="E38" s="14" t="n">
        <x:v>5</x:v>
      </x:c>
      <x:c r="F38" s="14" t="n">
        <x:v>2.5</x:v>
      </x:c>
      <x:c r="G38" s="14" t="n">
        <x:v>48319</x:v>
      </x:c>
      <x:c r="H38" s="14" t="n">
        <x:v>3117.48</x:v>
      </x:c>
      <x:c r="I38" s="14" t="n">
        <x:f>IFERROR(H38/G38,0)</x:f>
        <x:v>0.0645187193443573</x:v>
      </x:c>
      <x:c r="J38" s="14" t="n">
        <x:f>IF(C38=85,1,(E38*I38)/(1+(E38-IF(F38="",E38/2,F38))*I38))</x:f>
        <x:v>0.2777873814662278</x:v>
      </x:c>
      <x:c r="K38" s="14" t="n">
        <x:f>IF(OR(ROW()=2,A38&lt;&gt;A37,B38&lt;&gt;B37),100000,K37-L37)</x:f>
        <x:v>62619.22099686715</x:v>
      </x:c>
      <x:c r="L38" s="14" t="n">
        <x:f>K38*J38</x:f>
        <x:v>17394.829430174756</x:v>
      </x:c>
      <x:c r="M38" s="14" t="n">
        <x:f>IF(C38=85,K38/I38,E38*K38-(E38-F38)*L38)</x:f>
        <x:v>269609.0314088989</x:v>
      </x:c>
      <x:c r="N38" s="14" t="n">
        <x:f>SUMIFS(M:M,A:A,A38,B:B,B38,C:C,"&gt;="&amp;C38)</x:f>
        <x:v>486685.58379702066</x:v>
      </x:c>
      <x:c r="O38" s="14" t="n">
        <x:f>N38/K38</x:f>
        <x:v>7.772143697242251</x:v>
      </x:c>
      <x:c r="P38" s="14" t="str">
        <x:f>IF(C38=0,85-O38,"")</x:f>
      </x:c>
    </x:row>
    <x:row r="39">
      <x:c r="A39" s="14" t="n">
        <x:v>2010</x:v>
      </x:c>
      <x:c r="B39" s="14" t="str">
        <x:v>Mujeres</x:v>
      </x:c>
      <x:c r="C39" s="14" t="n">
        <x:v>85</x:v>
      </x:c>
      <x:c r="D39" s="14" t="str">
        <x:v>85+</x:v>
      </x:c>
      <x:c r="E39" s="14" t="n">
        <x:v>999</x:v>
      </x:c>
      <x:c r="F39" s="14" t="str"/>
      <x:c r="G39" s="14" t="n">
        <x:v>36239</x:v>
      </x:c>
      <x:c r="H39" s="14" t="n">
        <x:v>7549.81</x:v>
      </x:c>
      <x:c r="I39" s="14" t="n">
        <x:f>IFERROR(H39/G39,0)</x:f>
        <x:v>0.20833383923397447</x:v>
      </x:c>
      <x:c r="J39" s="14" t="n">
        <x:f>IF(C39=85,1,(E39*I39)/(1+(E39-IF(F39="",E39/2,F39))*I39))</x:f>
        <x:v>1</x:v>
      </x:c>
      <x:c r="K39" s="14" t="n">
        <x:f>IF(OR(ROW()=2,A39&lt;&gt;A38,B39&lt;&gt;B38),100000,K38-L38)</x:f>
        <x:v>45224.3915666924</x:v>
      </x:c>
      <x:c r="L39" s="14" t="n">
        <x:f>K39*J39</x:f>
        <x:v>45224.3915666924</x:v>
      </x:c>
      <x:c r="M39" s="14" t="n">
        <x:f>IF(C39=85,K39/I39,E39*K39-(E39-F39)*L39)</x:f>
        <x:v>217076.55238812178</x:v>
      </x:c>
      <x:c r="N39" s="14" t="n">
        <x:f>SUMIFS(M:M,A:A,A39,B:B,B39,C:C,"&gt;="&amp;C39)</x:f>
        <x:v>217076.55238812178</x:v>
      </x:c>
      <x:c r="O39" s="14" t="n">
        <x:f>N39/K39</x:f>
        <x:v>4.799988344077533</x:v>
      </x:c>
      <x:c r="P39" s="14" t="str">
        <x:f>IF(C39=0,85-O39,"")</x:f>
      </x:c>
    </x:row>
    <x:row r="40">
      <x:c r="A40" s="14" t="n">
        <x:v>2019</x:v>
      </x:c>
      <x:c r="B40" s="14" t="str">
        <x:v>Hombres</x:v>
      </x:c>
      <x:c r="C40" s="14" t="n">
        <x:v>0</x:v>
      </x:c>
      <x:c r="D40" s="14" t="str">
        <x:v>0</x:v>
      </x:c>
      <x:c r="E40" s="14" t="n">
        <x:v>1</x:v>
      </x:c>
      <x:c r="F40" s="14" t="n">
        <x:v>0.1</x:v>
      </x:c>
      <x:c r="G40" s="14" t="n">
        <x:v>43436</x:v>
      </x:c>
      <x:c r="H40" s="14" t="n">
        <x:v>258.14</x:v>
      </x:c>
      <x:c r="I40" s="14" t="n">
        <x:f>IFERROR(H40/G40,0)</x:f>
        <x:v>0.005942996592688093</x:v>
      </x:c>
      <x:c r="J40" s="14" t="n">
        <x:f>IF(C40=85,1,(E40*I40)/(1+(E40-IF(F40="",E40/2,F40))*I40))</x:f>
        <x:v>0.0059113784210551145</x:v>
      </x:c>
      <x:c r="K40" s="14" t="n">
        <x:f>IF(OR(ROW()=2,A40&lt;&gt;A39,B40&lt;&gt;B39),100000,K39-L39)</x:f>
        <x:v>100000</x:v>
      </x:c>
      <x:c r="L40" s="14" t="n">
        <x:f>K40*J40</x:f>
        <x:v>591.1378421055115</x:v>
      </x:c>
      <x:c r="M40" s="14" t="n">
        <x:f>IF(C40=85,K40/I40,E40*K40-(E40-F40)*L40)</x:f>
        <x:v>99467.97594210504</x:v>
      </x:c>
      <x:c r="N40" s="14" t="n">
        <x:f>SUMIFS(M:M,A:A,A40,B:B,B40,C:C,"&gt;="&amp;C40)</x:f>
        <x:v>7479999.497378818</x:v>
      </x:c>
      <x:c r="O40" s="14" t="n">
        <x:f>N40/K40</x:f>
        <x:v>74.79999497378817</x:v>
      </x:c>
      <x:c r="P40" s="14" t="n">
        <x:f>IF(C40=0,85-O40,"")</x:f>
        <x:v>10.200005026211826</x:v>
      </x:c>
    </x:row>
    <x:row r="41">
      <x:c r="A41" s="14" t="n">
        <x:v>2019</x:v>
      </x:c>
      <x:c r="B41" s="14" t="str">
        <x:v>Hombres</x:v>
      </x:c>
      <x:c r="C41" s="14" t="n">
        <x:v>1</x:v>
      </x:c>
      <x:c r="D41" s="14" t="str">
        <x:v>1-4</x:v>
      </x:c>
      <x:c r="E41" s="14" t="n">
        <x:v>4</x:v>
      </x:c>
      <x:c r="F41" s="14" t="n">
        <x:v>2</x:v>
      </x:c>
      <x:c r="G41" s="14" t="n">
        <x:v>173745</x:v>
      </x:c>
      <x:c r="H41" s="14" t="n">
        <x:v>68.52</x:v>
      </x:c>
      <x:c r="I41" s="14" t="n">
        <x:f>IFERROR(H41/G41,0)</x:f>
        <x:v>0.0003943710610377277</x:v>
      </x:c>
      <x:c r="J41" s="14" t="n">
        <x:f>IF(C41=85,1,(E41*I41)/(1+(E41-IF(F41="",E41/2,F41))*I41))</x:f>
        <x:v>0.001576240996482443</x:v>
      </x:c>
      <x:c r="K41" s="14" t="n">
        <x:f>IF(OR(ROW()=2,A41&lt;&gt;A40,B41&lt;&gt;B40),100000,K40-L40)</x:f>
        <x:v>99408.86215789449</x:v>
      </x:c>
      <x:c r="L41" s="14" t="n">
        <x:f>K41*J41</x:f>
        <x:v>156.69232394694544</x:v>
      </x:c>
      <x:c r="M41" s="14" t="n">
        <x:f>IF(C41=85,K41/I41,E41*K41-(E41-F41)*L41)</x:f>
        <x:v>397322.06398368406</x:v>
      </x:c>
      <x:c r="N41" s="14" t="n">
        <x:f>SUMIFS(M:M,A:A,A41,B:B,B41,C:C,"&gt;="&amp;C41)</x:f>
        <x:v>7380531.521436713</x:v>
      </x:c>
      <x:c r="O41" s="14" t="n">
        <x:f>N41/K41</x:f>
        <x:v>74.24420078075094</x:v>
      </x:c>
      <x:c r="P41" s="14" t="str">
        <x:f>IF(C41=0,85-O41,"")</x:f>
      </x:c>
    </x:row>
    <x:row r="42">
      <x:c r="A42" s="14" t="n">
        <x:v>2019</x:v>
      </x:c>
      <x:c r="B42" s="14" t="str">
        <x:v>Hombres</x:v>
      </x:c>
      <x:c r="C42" s="14" t="n">
        <x:v>5</x:v>
      </x:c>
      <x:c r="D42" s="14" t="str">
        <x:v>5-9</x:v>
      </x:c>
      <x:c r="E42" s="14" t="n">
        <x:v>5</x:v>
      </x:c>
      <x:c r="F42" s="14" t="n">
        <x:v>2.5</x:v>
      </x:c>
      <x:c r="G42" s="14" t="n">
        <x:v>231660</x:v>
      </x:c>
      <x:c r="H42" s="14" t="n">
        <x:v>36.53</x:v>
      </x:c>
      <x:c r="I42" s="14" t="n">
        <x:f>IFERROR(H42/G42,0)</x:f>
        <x:v>0.00015768799102132435</x:v>
      </x:c>
      <x:c r="J42" s="14" t="n">
        <x:f>IF(C42=85,1,(E42*I42)/(1+(E42-IF(F42="",E42/2,F42))*I42))</x:f>
        <x:v>0.0007881292588079054</x:v>
      </x:c>
      <x:c r="K42" s="14" t="n">
        <x:f>IF(OR(ROW()=2,A42&lt;&gt;A41,B42&lt;&gt;B41),100000,K41-L41)</x:f>
        <x:v>99252.16983394754</x:v>
      </x:c>
      <x:c r="L42" s="14" t="n">
        <x:f>K42*J42</x:f>
        <x:v>78.22353904630542</x:v>
      </x:c>
      <x:c r="M42" s="14" t="n">
        <x:f>IF(C42=85,K42/I42,E42*K42-(E42-F42)*L42)</x:f>
        <x:v>496065.29032212193</x:v>
      </x:c>
      <x:c r="N42" s="14" t="n">
        <x:f>SUMIFS(M:M,A:A,A42,B:B,B42,C:C,"&gt;="&amp;C42)</x:f>
        <x:v>6983209.457453029</x:v>
      </x:c>
      <x:c r="O42" s="14" t="n">
        <x:f>N42/K42</x:f>
        <x:v>70.35825482844547</x:v>
      </x:c>
      <x:c r="P42" s="14" t="str">
        <x:f>IF(C42=0,85-O42,"")</x:f>
      </x:c>
    </x:row>
    <x:row r="43">
      <x:c r="A43" s="14" t="n">
        <x:v>2019</x:v>
      </x:c>
      <x:c r="B43" s="14" t="str">
        <x:v>Hombres</x:v>
      </x:c>
      <x:c r="C43" s="14" t="n">
        <x:v>10</x:v>
      </x:c>
      <x:c r="D43" s="14" t="str">
        <x:v>10-14</x:v>
      </x:c>
      <x:c r="E43" s="14" t="n">
        <x:v>5</x:v>
      </x:c>
      <x:c r="F43" s="14" t="n">
        <x:v>2.5</x:v>
      </x:c>
      <x:c r="G43" s="14" t="n">
        <x:v>231660</x:v>
      </x:c>
      <x:c r="H43" s="14" t="n">
        <x:v>48.72</x:v>
      </x:c>
      <x:c r="I43" s="14" t="n">
        <x:f>IFERROR(H43/G43,0)</x:f>
        <x:v>0.0002103082103082103</x:v>
      </x:c>
      <x:c r="J43" s="14" t="n">
        <x:f>IF(C43=85,1,(E43*I43)/(1+(E43-IF(F43="",E43/2,F43))*I43))</x:f>
        <x:v>0.0010509884727791397</x:v>
      </x:c>
      <x:c r="K43" s="14" t="n">
        <x:f>IF(OR(ROW()=2,A43&lt;&gt;A42,B43&lt;&gt;B42),100000,K42-L42)</x:f>
        <x:v>99173.94629490124</x:v>
      </x:c>
      <x:c r="L43" s="14" t="n">
        <x:f>K43*J43</x:f>
        <x:v>104.23067435595867</x:v>
      </x:c>
      <x:c r="M43" s="14" t="n">
        <x:f>IF(C43=85,K43/I43,E43*K43-(E43-F43)*L43)</x:f>
        <x:v>495609.1547886163</x:v>
      </x:c>
      <x:c r="N43" s="14" t="n">
        <x:f>SUMIFS(M:M,A:A,A43,B:B,B43,C:C,"&gt;="&amp;C43)</x:f>
        <x:v>6487144.167130906</x:v>
      </x:c>
      <x:c r="O43" s="14" t="n">
        <x:f>N43/K43</x:f>
        <x:v>65.4117780877741</x:v>
      </x:c>
      <x:c r="P43" s="14" t="str">
        <x:f>IF(C43=0,85-O43,"")</x:f>
      </x:c>
    </x:row>
    <x:row r="44">
      <x:c r="A44" s="14" t="n">
        <x:v>2019</x:v>
      </x:c>
      <x:c r="B44" s="14" t="str">
        <x:v>Hombres</x:v>
      </x:c>
      <x:c r="C44" s="14" t="n">
        <x:v>15</x:v>
      </x:c>
      <x:c r="D44" s="14" t="str">
        <x:v>15-19</x:v>
      </x:c>
      <x:c r="E44" s="14" t="n">
        <x:v>5</x:v>
      </x:c>
      <x:c r="F44" s="14" t="n">
        <x:v>2.5</x:v>
      </x:c>
      <x:c r="G44" s="14" t="n">
        <x:v>217181</x:v>
      </x:c>
      <x:c r="H44" s="14" t="n">
        <x:v>102.83</x:v>
      </x:c>
      <x:c r="I44" s="14" t="n">
        <x:f>IFERROR(H44/G44,0)</x:f>
        <x:v>0.0004734760407217943</x:v>
      </x:c>
      <x:c r="J44" s="14" t="n">
        <x:f>IF(C44=85,1,(E44*I44)/(1+(E44-IF(F44="",E44/2,F44))*I44))</x:f>
        <x:v>0.0023645812721622005</x:v>
      </x:c>
      <x:c r="K44" s="14" t="n">
        <x:f>IF(OR(ROW()=2,A44&lt;&gt;A43,B44&lt;&gt;B43),100000,K43-L43)</x:f>
        <x:v>99069.71562054528</x:v>
      </x:c>
      <x:c r="L44" s="14" t="n">
        <x:f>K44*J44</x:f>
        <x:v>234.25839419477637</x:v>
      </x:c>
      <x:c r="M44" s="14" t="n">
        <x:f>IF(C44=85,K44/I44,E44*K44-(E44-F44)*L44)</x:f>
        <x:v>494762.93211723946</x:v>
      </x:c>
      <x:c r="N44" s="14" t="n">
        <x:f>SUMIFS(M:M,A:A,A44,B:B,B44,C:C,"&gt;="&amp;C44)</x:f>
        <x:v>5991535.01234229</x:v>
      </x:c>
      <x:c r="O44" s="14" t="n">
        <x:f>N44/K44</x:f>
        <x:v>60.47796720534598</x:v>
      </x:c>
      <x:c r="P44" s="14" t="str">
        <x:f>IF(C44=0,85-O44,"")</x:f>
      </x:c>
    </x:row>
    <x:row r="45">
      <x:c r="A45" s="14" t="n">
        <x:v>2019</x:v>
      </x:c>
      <x:c r="B45" s="14" t="str">
        <x:v>Hombres</x:v>
      </x:c>
      <x:c r="C45" s="14" t="n">
        <x:v>20</x:v>
      </x:c>
      <x:c r="D45" s="14" t="str">
        <x:v>20-24</x:v>
      </x:c>
      <x:c r="E45" s="14" t="n">
        <x:v>5</x:v>
      </x:c>
      <x:c r="F45" s="14" t="n">
        <x:v>2.5</x:v>
      </x:c>
      <x:c r="G45" s="14" t="n">
        <x:v>217181</x:v>
      </x:c>
      <x:c r="H45" s="14" t="n">
        <x:v>171.51</x:v>
      </x:c>
      <x:c r="I45" s="14" t="n">
        <x:f>IFERROR(H45/G45,0)</x:f>
        <x:v>0.0007897099654205477</x:v>
      </x:c>
      <x:c r="J45" s="14" t="n">
        <x:f>IF(C45=85,1,(E45*I45)/(1+(E45-IF(F45="",E45/2,F45))*I45))</x:f>
        <x:v>0.003940769664414201</x:v>
      </x:c>
      <x:c r="K45" s="14" t="n">
        <x:f>IF(OR(ROW()=2,A45&lt;&gt;A44,B45&lt;&gt;B44),100000,K44-L44)</x:f>
        <x:v>98835.4572263505</x:v>
      </x:c>
      <x:c r="L45" s="14" t="n">
        <x:f>K45*J45</x:f>
        <x:v>389.48777160610933</x:v>
      </x:c>
      <x:c r="M45" s="14" t="n">
        <x:f>IF(C45=85,K45/I45,E45*K45-(E45-F45)*L45)</x:f>
        <x:v>493203.5667027372</x:v>
      </x:c>
      <x:c r="N45" s="14" t="n">
        <x:f>SUMIFS(M:M,A:A,A45,B:B,B45,C:C,"&gt;="&amp;C45)</x:f>
        <x:v>5496772.08022505</x:v>
      </x:c>
      <x:c r="O45" s="14" t="n">
        <x:f>N45/K45</x:f>
        <x:v>55.61538575813415</x:v>
      </x:c>
      <x:c r="P45" s="14" t="str">
        <x:f>IF(C45=0,85-O45,"")</x:f>
      </x:c>
    </x:row>
    <x:row r="46">
      <x:c r="A46" s="14" t="n">
        <x:v>2019</x:v>
      </x:c>
      <x:c r="B46" s="14" t="str">
        <x:v>Hombres</x:v>
      </x:c>
      <x:c r="C46" s="14" t="n">
        <x:v>25</x:v>
      </x:c>
      <x:c r="D46" s="14" t="str">
        <x:v>25-29</x:v>
      </x:c>
      <x:c r="E46" s="14" t="n">
        <x:v>5</x:v>
      </x:c>
      <x:c r="F46" s="14" t="n">
        <x:v>2.5</x:v>
      </x:c>
      <x:c r="G46" s="14" t="n">
        <x:v>202703</x:v>
      </x:c>
      <x:c r="H46" s="14" t="n">
        <x:v>213.58</x:v>
      </x:c>
      <x:c r="I46" s="14" t="n">
        <x:f>IFERROR(H46/G46,0)</x:f>
        <x:v>0.0010536597879656443</x:v>
      </x:c>
      <x:c r="J46" s="14" t="n">
        <x:f>IF(C46=85,1,(E46*I46)/(1+(E46-IF(F46="",E46/2,F46))*I46))</x:f>
        <x:v>0.005254457912303841</x:v>
      </x:c>
      <x:c r="K46" s="14" t="n">
        <x:f>IF(OR(ROW()=2,A46&lt;&gt;A45,B46&lt;&gt;B45),100000,K45-L45)</x:f>
        <x:v>98445.96945474438</x:v>
      </x:c>
      <x:c r="L46" s="14" t="n">
        <x:f>K46*J46</x:f>
        <x:v>517.2802031359038</x:v>
      </x:c>
      <x:c r="M46" s="14" t="n">
        <x:f>IF(C46=85,K46/I46,E46*K46-(E46-F46)*L46)</x:f>
        <x:v>490936.64676588215</x:v>
      </x:c>
      <x:c r="N46" s="14" t="n">
        <x:f>SUMIFS(M:M,A:A,A46,B:B,B46,C:C,"&gt;="&amp;C46)</x:f>
        <x:v>5003568.513522314</x:v>
      </x:c>
      <x:c r="O46" s="14" t="n">
        <x:f>N46/K46</x:f>
        <x:v>50.82552938668002</x:v>
      </x:c>
      <x:c r="P46" s="14" t="str">
        <x:f>IF(C46=0,85-O46,"")</x:f>
      </x:c>
    </x:row>
    <x:row r="47">
      <x:c r="A47" s="14" t="n">
        <x:v>2019</x:v>
      </x:c>
      <x:c r="B47" s="14" t="str">
        <x:v>Hombres</x:v>
      </x:c>
      <x:c r="C47" s="14" t="n">
        <x:v>30</x:v>
      </x:c>
      <x:c r="D47" s="14" t="str">
        <x:v>30-34</x:v>
      </x:c>
      <x:c r="E47" s="14" t="n">
        <x:v>5</x:v>
      </x:c>
      <x:c r="F47" s="14" t="n">
        <x:v>2.5</x:v>
      </x:c>
      <x:c r="G47" s="14" t="n">
        <x:v>202703</x:v>
      </x:c>
      <x:c r="H47" s="14" t="n">
        <x:v>267.15</x:v>
      </x:c>
      <x:c r="I47" s="14" t="n">
        <x:f>IFERROR(H47/G47,0)</x:f>
        <x:v>0.0013179380670241682</x:v>
      </x:c>
      <x:c r="J47" s="14" t="n">
        <x:f>IF(C47=85,1,(E47*I47)/(1+(E47-IF(F47="",E47/2,F47))*I47))</x:f>
        <x:v>0.006568049628541942</x:v>
      </x:c>
      <x:c r="K47" s="14" t="n">
        <x:f>IF(OR(ROW()=2,A47&lt;&gt;A46,B47&lt;&gt;B46),100000,K46-L46)</x:f>
        <x:v>97928.68925160848</x:v>
      </x:c>
      <x:c r="L47" s="14" t="n">
        <x:f>K47*J47</x:f>
        <x:v>643.2004910626263</x:v>
      </x:c>
      <x:c r="M47" s="14" t="n">
        <x:f>IF(C47=85,K47/I47,E47*K47-(E47-F47)*L47)</x:f>
        <x:v>488035.4450303858</x:v>
      </x:c>
      <x:c r="N47" s="14" t="n">
        <x:f>SUMIFS(M:M,A:A,A47,B:B,B47,C:C,"&gt;="&amp;C47)</x:f>
        <x:v>4512631.866756431</x:v>
      </x:c>
      <x:c r="O47" s="14" t="n">
        <x:f>N47/K47</x:f>
        <x:v>46.080795130037046</x:v>
      </x:c>
      <x:c r="P47" s="14" t="str">
        <x:f>IF(C47=0,85-O47,"")</x:f>
      </x:c>
    </x:row>
    <x:row r="48">
      <x:c r="A48" s="14" t="n">
        <x:v>2019</x:v>
      </x:c>
      <x:c r="B48" s="14" t="str">
        <x:v>Hombres</x:v>
      </x:c>
      <x:c r="C48" s="14" t="n">
        <x:v>35</x:v>
      </x:c>
      <x:c r="D48" s="14" t="str">
        <x:v>35-39</x:v>
      </x:c>
      <x:c r="E48" s="14" t="n">
        <x:v>5</x:v>
      </x:c>
      <x:c r="F48" s="14" t="n">
        <x:v>2.5</x:v>
      </x:c>
      <x:c r="G48" s="14" t="n">
        <x:v>188224</x:v>
      </x:c>
      <x:c r="H48" s="14" t="n">
        <x:v>322.81</x:v>
      </x:c>
      <x:c r="I48" s="14" t="n">
        <x:f>IFERROR(H48/G48,0)</x:f>
        <x:v>0.0017150310268616118</x:v>
      </x:c>
      <x:c r="J48" s="14" t="n">
        <x:f>IF(C48=85,1,(E48*I48)/(1+(E48-IF(F48="",E48/2,F48))*I48))</x:f>
        <x:v>0.008538545458344735</x:v>
      </x:c>
      <x:c r="K48" s="14" t="n">
        <x:f>IF(OR(ROW()=2,A48&lt;&gt;A47,B48&lt;&gt;B47),100000,K47-L47)</x:f>
        <x:v>97285.48876054585</x:v>
      </x:c>
      <x:c r="L48" s="14" t="n">
        <x:f>K48*J48</x:f>
        <x:v>830.6765682192065</x:v>
      </x:c>
      <x:c r="M48" s="14" t="n">
        <x:f>IF(C48=85,K48/I48,E48*K48-(E48-F48)*L48)</x:f>
        <x:v>484350.75238218124</x:v>
      </x:c>
      <x:c r="N48" s="14" t="n">
        <x:f>SUMIFS(M:M,A:A,A48,B:B,B48,C:C,"&gt;="&amp;C48)</x:f>
        <x:v>4024596.4217260447</x:v>
      </x:c>
      <x:c r="O48" s="14" t="n">
        <x:f>N48/K48</x:f>
        <x:v>41.36892842911039</x:v>
      </x:c>
      <x:c r="P48" s="14" t="str">
        <x:f>IF(C48=0,85-O48,"")</x:f>
      </x:c>
    </x:row>
    <x:row r="49">
      <x:c r="A49" s="14" t="n">
        <x:v>2019</x:v>
      </x:c>
      <x:c r="B49" s="14" t="str">
        <x:v>Hombres</x:v>
      </x:c>
      <x:c r="C49" s="14" t="n">
        <x:v>40</x:v>
      </x:c>
      <x:c r="D49" s="14" t="str">
        <x:v>40-44</x:v>
      </x:c>
      <x:c r="E49" s="14" t="n">
        <x:v>5</x:v>
      </x:c>
      <x:c r="F49" s="14" t="n">
        <x:v>2.5</x:v>
      </x:c>
      <x:c r="G49" s="14" t="n">
        <x:v>173745</x:v>
      </x:c>
      <x:c r="H49" s="14" t="n">
        <x:v>413.27</x:v>
      </x:c>
      <x:c r="I49" s="14" t="n">
        <x:f>IFERROR(H49/G49,0)</x:f>
        <x:v>0.0023786008230452676</x:v>
      </x:c>
      <x:c r="J49" s="14" t="n">
        <x:f>IF(C49=85,1,(E49*I49)/(1+(E49-IF(F49="",E49/2,F49))*I49))</x:f>
        <x:v>0.011822700402953629</x:v>
      </x:c>
      <x:c r="K49" s="14" t="n">
        <x:f>IF(OR(ROW()=2,A49&lt;&gt;A48,B49&lt;&gt;B48),100000,K48-L48)</x:f>
        <x:v>96454.81219232664</x:v>
      </x:c>
      <x:c r="L49" s="14" t="n">
        <x:f>K49*J49</x:f>
        <x:v>1140.3563469730368</x:v>
      </x:c>
      <x:c r="M49" s="14" t="n">
        <x:f>IF(C49=85,K49/I49,E49*K49-(E49-F49)*L49)</x:f>
        <x:v>479423.17009420064</x:v>
      </x:c>
      <x:c r="N49" s="14" t="n">
        <x:f>SUMIFS(M:M,A:A,A49,B:B,B49,C:C,"&gt;="&amp;C49)</x:f>
        <x:v>3540245.669343863</x:v>
      </x:c>
      <x:c r="O49" s="14" t="n">
        <x:f>N49/K49</x:f>
        <x:v>36.7036707539772</x:v>
      </x:c>
      <x:c r="P49" s="14" t="str">
        <x:f>IF(C49=0,85-O49,"")</x:f>
      </x:c>
    </x:row>
    <x:row r="50">
      <x:c r="A50" s="14" t="n">
        <x:v>2019</x:v>
      </x:c>
      <x:c r="B50" s="14" t="str">
        <x:v>Hombres</x:v>
      </x:c>
      <x:c r="C50" s="14" t="n">
        <x:v>45</x:v>
      </x:c>
      <x:c r="D50" s="14" t="str">
        <x:v>45-49</x:v>
      </x:c>
      <x:c r="E50" s="14" t="n">
        <x:v>5</x:v>
      </x:c>
      <x:c r="F50" s="14" t="n">
        <x:v>2.5</x:v>
      </x:c>
      <x:c r="G50" s="14" t="n">
        <x:v>159266</x:v>
      </x:c>
      <x:c r="H50" s="14" t="n">
        <x:v>591.24</x:v>
      </x:c>
      <x:c r="I50" s="14" t="n">
        <x:f>IFERROR(H50/G50,0)</x:f>
        <x:v>0.00371228008488943</x:v>
      </x:c>
      <x:c r="J50" s="14" t="n">
        <x:f>IF(C50=85,1,(E50*I50)/(1+(E50-IF(F50="",E50/2,F50))*I50))</x:f>
        <x:v>0.018390721650125882</x:v>
      </x:c>
      <x:c r="K50" s="14" t="n">
        <x:f>IF(OR(ROW()=2,A50&lt;&gt;A49,B50&lt;&gt;B49),100000,K49-L49)</x:f>
        <x:v>95314.4558453536</x:v>
      </x:c>
      <x:c r="L50" s="14" t="n">
        <x:f>K50*J50</x:f>
        <x:v>1752.901626685112</x:v>
      </x:c>
      <x:c r="M50" s="14" t="n">
        <x:f>IF(C50=85,K50/I50,E50*K50-(E50-F50)*L50)</x:f>
        <x:v>472190.0251600552</x:v>
      </x:c>
      <x:c r="N50" s="14" t="n">
        <x:f>SUMIFS(M:M,A:A,A50,B:B,B50,C:C,"&gt;="&amp;C50)</x:f>
        <x:v>3060822.4992496627</x:v>
      </x:c>
      <x:c r="O50" s="14" t="n">
        <x:f>N50/K50</x:f>
        <x:v>32.112888565568745</x:v>
      </x:c>
      <x:c r="P50" s="14" t="str">
        <x:f>IF(C50=0,85-O50,"")</x:f>
      </x:c>
    </x:row>
    <x:row r="51">
      <x:c r="A51" s="14" t="n">
        <x:v>2019</x:v>
      </x:c>
      <x:c r="B51" s="14" t="str">
        <x:v>Hombres</x:v>
      </x:c>
      <x:c r="C51" s="14" t="n">
        <x:v>50</x:v>
      </x:c>
      <x:c r="D51" s="14" t="str">
        <x:v>50-54</x:v>
      </x:c>
      <x:c r="E51" s="14" t="n">
        <x:v>5</x:v>
      </x:c>
      <x:c r="F51" s="14" t="n">
        <x:v>2.5</x:v>
      </x:c>
      <x:c r="G51" s="14" t="n">
        <x:v>144788</x:v>
      </x:c>
      <x:c r="H51" s="14" t="n">
        <x:v>849.13</x:v>
      </x:c>
      <x:c r="I51" s="14" t="n">
        <x:f>IFERROR(H51/G51,0)</x:f>
        <x:v>0.005864643478741332</x:v>
      </x:c>
      <x:c r="J51" s="14" t="n">
        <x:f>IF(C51=85,1,(E51*I51)/(1+(E51-IF(F51="",E51/2,F51))*I51))</x:f>
        <x:v>0.028899504172003664</x:v>
      </x:c>
      <x:c r="K51" s="14" t="n">
        <x:f>IF(OR(ROW()=2,A51&lt;&gt;A50,B51&lt;&gt;B50),100000,K50-L50)</x:f>
        <x:v>93561.55421866849</x:v>
      </x:c>
      <x:c r="L51" s="14" t="n">
        <x:f>K51*J51</x:f>
        <x:v>2703.8825264815573</x:v>
      </x:c>
      <x:c r="M51" s="14" t="n">
        <x:f>IF(C51=85,K51/I51,E51*K51-(E51-F51)*L51)</x:f>
        <x:v>461048.0647771386</x:v>
      </x:c>
      <x:c r="N51" s="14" t="n">
        <x:f>SUMIFS(M:M,A:A,A51,B:B,B51,C:C,"&gt;="&amp;C51)</x:f>
        <x:v>2588632.474089607</x:v>
      </x:c>
      <x:c r="O51" s="14" t="n">
        <x:f>N51/K51</x:f>
        <x:v>27.667694233034588</x:v>
      </x:c>
      <x:c r="P51" s="14" t="str">
        <x:f>IF(C51=0,85-O51,"")</x:f>
      </x:c>
    </x:row>
    <x:row r="52">
      <x:c r="A52" s="14" t="n">
        <x:v>2019</x:v>
      </x:c>
      <x:c r="B52" s="14" t="str">
        <x:v>Hombres</x:v>
      </x:c>
      <x:c r="C52" s="14" t="n">
        <x:v>55</x:v>
      </x:c>
      <x:c r="D52" s="14" t="str">
        <x:v>55-59</x:v>
      </x:c>
      <x:c r="E52" s="14" t="n">
        <x:v>5</x:v>
      </x:c>
      <x:c r="F52" s="14" t="n">
        <x:v>2.5</x:v>
      </x:c>
      <x:c r="G52" s="14" t="n">
        <x:v>130309</x:v>
      </x:c>
      <x:c r="H52" s="14" t="n">
        <x:v>1226.42</x:v>
      </x:c>
      <x:c r="I52" s="14" t="n">
        <x:f>IFERROR(H52/G52,0)</x:f>
        <x:v>0.009411629281170142</x:v>
      </x:c>
      <x:c r="J52" s="14" t="n">
        <x:f>IF(C52=85,1,(E52*I52)/(1+(E52-IF(F52="",E52/2,F52))*I52))</x:f>
        <x:v>0.04597636514475533</x:v>
      </x:c>
      <x:c r="K52" s="14" t="n">
        <x:f>IF(OR(ROW()=2,A52&lt;&gt;A51,B52&lt;&gt;B51),100000,K51-L51)</x:f>
        <x:v>90857.67169218694</x:v>
      </x:c>
      <x:c r="L52" s="14" t="n">
        <x:f>K52*J52</x:f>
        <x:v>4177.305489922287</x:v>
      </x:c>
      <x:c r="M52" s="14" t="n">
        <x:f>IF(C52=85,K52/I52,E52*K52-(E52-F52)*L52)</x:f>
        <x:v>443845.094736129</x:v>
      </x:c>
      <x:c r="N52" s="14" t="n">
        <x:f>SUMIFS(M:M,A:A,A52,B:B,B52,C:C,"&gt;="&amp;C52)</x:f>
        <x:v>2127584.4093124685</x:v>
      </x:c>
      <x:c r="O52" s="14" t="n">
        <x:f>N52/K52</x:f>
        <x:v>23.416673239442304</x:v>
      </x:c>
      <x:c r="P52" s="14" t="str">
        <x:f>IF(C52=0,85-O52,"")</x:f>
      </x:c>
    </x:row>
    <x:row r="53">
      <x:c r="A53" s="14" t="n">
        <x:v>2019</x:v>
      </x:c>
      <x:c r="B53" s="14" t="str">
        <x:v>Hombres</x:v>
      </x:c>
      <x:c r="C53" s="14" t="n">
        <x:v>60</x:v>
      </x:c>
      <x:c r="D53" s="14" t="str">
        <x:v>60-64</x:v>
      </x:c>
      <x:c r="E53" s="14" t="n">
        <x:v>5</x:v>
      </x:c>
      <x:c r="F53" s="14" t="n">
        <x:v>2.5</x:v>
      </x:c>
      <x:c r="G53" s="14" t="n">
        <x:v>115830</x:v>
      </x:c>
      <x:c r="H53" s="14" t="n">
        <x:v>1736.45</x:v>
      </x:c>
      <x:c r="I53" s="14" t="n">
        <x:f>IFERROR(H53/G53,0)</x:f>
        <x:v>0.014991366658033325</x:v>
      </x:c>
      <x:c r="J53" s="14" t="n">
        <x:f>IF(C53=85,1,(E53*I53)/(1+(E53-IF(F53="",E53/2,F53))*I53))</x:f>
        <x:v>0.07224905317313124</x:v>
      </x:c>
      <x:c r="K53" s="14" t="n">
        <x:f>IF(OR(ROW()=2,A53&lt;&gt;A52,B53&lt;&gt;B52),100000,K52-L52)</x:f>
        <x:v>86680.36620226465</x:v>
      </x:c>
      <x:c r="L53" s="14" t="n">
        <x:f>K53*J53</x:f>
        <x:v>6262.574386813906</x:v>
      </x:c>
      <x:c r="M53" s="14" t="n">
        <x:f>IF(C53=85,K53/I53,E53*K53-(E53-F53)*L53)</x:f>
        <x:v>417745.3950442885</x:v>
      </x:c>
      <x:c r="N53" s="14" t="n">
        <x:f>SUMIFS(M:M,A:A,A53,B:B,B53,C:C,"&gt;="&amp;C53)</x:f>
        <x:v>1683739.31457634</x:v>
      </x:c>
      <x:c r="O53" s="14" t="n">
        <x:f>N53/K53</x:f>
        <x:v>19.424690830763357</x:v>
      </x:c>
      <x:c r="P53" s="14" t="str">
        <x:f>IF(C53=0,85-O53,"")</x:f>
      </x:c>
    </x:row>
    <x:row r="54">
      <x:c r="A54" s="14" t="n">
        <x:v>2019</x:v>
      </x:c>
      <x:c r="B54" s="14" t="str">
        <x:v>Hombres</x:v>
      </x:c>
      <x:c r="C54" s="14" t="n">
        <x:v>65</x:v>
      </x:c>
      <x:c r="D54" s="14" t="str">
        <x:v>65-69</x:v>
      </x:c>
      <x:c r="E54" s="14" t="n">
        <x:v>5</x:v>
      </x:c>
      <x:c r="F54" s="14" t="n">
        <x:v>2.5</x:v>
      </x:c>
      <x:c r="G54" s="14" t="n">
        <x:v>101351</x:v>
      </x:c>
      <x:c r="H54" s="14" t="n">
        <x:v>2397.16</x:v>
      </x:c>
      <x:c r="I54" s="14" t="n">
        <x:f>IFERROR(H54/G54,0)</x:f>
        <x:v>0.023652060660476953</x:v>
      </x:c>
      <x:c r="J54" s="14" t="n">
        <x:f>IF(C54=85,1,(E54*I54)/(1+(E54-IF(F54="",E54/2,F54))*I54))</x:f>
        <x:v>0.11165795168612282</x:v>
      </x:c>
      <x:c r="K54" s="14" t="n">
        <x:f>IF(OR(ROW()=2,A54&lt;&gt;A53,B54&lt;&gt;B53),100000,K53-L53)</x:f>
        <x:v>80417.79181545074</x:v>
      </x:c>
      <x:c r="L54" s="14" t="n">
        <x:f>K54*J54</x:f>
        <x:v>8979.285913234282</x:v>
      </x:c>
      <x:c r="M54" s="14" t="n">
        <x:f>IF(C54=85,K54/I54,E54*K54-(E54-F54)*L54)</x:f>
        <x:v>379640.744294168</x:v>
      </x:c>
      <x:c r="N54" s="14" t="n">
        <x:f>SUMIFS(M:M,A:A,A54,B:B,B54,C:C,"&gt;="&amp;C54)</x:f>
        <x:v>1265993.9195320513</x:v>
      </x:c>
      <x:c r="O54" s="14" t="n">
        <x:f>N54/K54</x:f>
        <x:v>15.742709305390488</x:v>
      </x:c>
      <x:c r="P54" s="14" t="str">
        <x:f>IF(C54=0,85-O54,"")</x:f>
      </x:c>
    </x:row>
    <x:row r="55">
      <x:c r="A55" s="14" t="n">
        <x:v>2019</x:v>
      </x:c>
      <x:c r="B55" s="14" t="str">
        <x:v>Hombres</x:v>
      </x:c>
      <x:c r="C55" s="14" t="n">
        <x:v>70</x:v>
      </x:c>
      <x:c r="D55" s="14" t="str">
        <x:v>70-74</x:v>
      </x:c>
      <x:c r="E55" s="14" t="n">
        <x:v>5</x:v>
      </x:c>
      <x:c r="F55" s="14" t="n">
        <x:v>2.5</x:v>
      </x:c>
      <x:c r="G55" s="14" t="n">
        <x:v>86873</x:v>
      </x:c>
      <x:c r="H55" s="14" t="n">
        <x:v>3244.04</x:v>
      </x:c>
      <x:c r="I55" s="14" t="n">
        <x:f>IFERROR(H55/G55,0)</x:f>
        <x:v>0.037342327305376816</x:v>
      </x:c>
      <x:c r="J55" s="14" t="n">
        <x:f>IF(C55=85,1,(E55*I55)/(1+(E55-IF(F55="",E55/2,F55))*I55))</x:f>
        <x:v>0.17076932633278974</x:v>
      </x:c>
      <x:c r="K55" s="14" t="n">
        <x:f>IF(OR(ROW()=2,A55&lt;&gt;A54,B55&lt;&gt;B54),100000,K54-L54)</x:f>
        <x:v>71438.50590221645</x:v>
      </x:c>
      <x:c r="L55" s="14" t="n">
        <x:f>K55*J55</x:f>
        <x:v>12199.505527142526</x:v>
      </x:c>
      <x:c r="M55" s="14" t="n">
        <x:f>IF(C55=85,K55/I55,E55*K55-(E55-F55)*L55)</x:f>
        <x:v>326693.7656932259</x:v>
      </x:c>
      <x:c r="N55" s="14" t="n">
        <x:f>SUMIFS(M:M,A:A,A55,B:B,B55,C:C,"&gt;="&amp;C55)</x:f>
        <x:v>886353.1752378832</x:v>
      </x:c>
      <x:c r="O55" s="14" t="n">
        <x:f>N55/K55</x:f>
        <x:v>12.407218824692459</x:v>
      </x:c>
      <x:c r="P55" s="14" t="str">
        <x:f>IF(C55=0,85-O55,"")</x:f>
      </x:c>
    </x:row>
    <x:row r="56">
      <x:c r="A56" s="14" t="n">
        <x:v>2019</x:v>
      </x:c>
      <x:c r="B56" s="14" t="str">
        <x:v>Hombres</x:v>
      </x:c>
      <x:c r="C56" s="14" t="n">
        <x:v>75</x:v>
      </x:c>
      <x:c r="D56" s="14" t="str">
        <x:v>75-79</x:v>
      </x:c>
      <x:c r="E56" s="14" t="n">
        <x:v>5</x:v>
      </x:c>
      <x:c r="F56" s="14" t="n">
        <x:v>2.5</x:v>
      </x:c>
      <x:c r="G56" s="14" t="n">
        <x:v>72394</x:v>
      </x:c>
      <x:c r="H56" s="14" t="n">
        <x:v>4379.16</x:v>
      </x:c>
      <x:c r="I56" s="14" t="n">
        <x:f>IFERROR(H56/G56,0)</x:f>
        <x:v>0.06049064839627593</x:v>
      </x:c>
      <x:c r="J56" s="14" t="n">
        <x:f>IF(C56=85,1,(E56*I56)/(1+(E56-IF(F56="",E56/2,F56))*I56))</x:f>
        <x:v>0.2627225921175303</x:v>
      </x:c>
      <x:c r="K56" s="14" t="n">
        <x:f>IF(OR(ROW()=2,A56&lt;&gt;A55,B56&lt;&gt;B55),100000,K55-L55)</x:f>
        <x:v>59239.00037507393</x:v>
      </x:c>
      <x:c r="L56" s="14" t="n">
        <x:f>K56*J56</x:f>
        <x:v>15563.423732990772</x:v>
      </x:c>
      <x:c r="M56" s="14" t="n">
        <x:f>IF(C56=85,K56/I56,E56*K56-(E56-F56)*L56)</x:f>
        <x:v>257286.4425428927</x:v>
      </x:c>
      <x:c r="N56" s="14" t="n">
        <x:f>SUMIFS(M:M,A:A,A56,B:B,B56,C:C,"&gt;="&amp;C56)</x:f>
        <x:v>559659.4095446573</x:v>
      </x:c>
      <x:c r="O56" s="14" t="n">
        <x:f>N56/K56</x:f>
        <x:v>9.447482334292493</x:v>
      </x:c>
      <x:c r="P56" s="14" t="str">
        <x:f>IF(C56=0,85-O56,"")</x:f>
      </x:c>
    </x:row>
    <x:row r="57">
      <x:c r="A57" s="14" t="n">
        <x:v>2019</x:v>
      </x:c>
      <x:c r="B57" s="14" t="str">
        <x:v>Hombres</x:v>
      </x:c>
      <x:c r="C57" s="14" t="n">
        <x:v>80</x:v>
      </x:c>
      <x:c r="D57" s="14" t="str">
        <x:v>80-84</x:v>
      </x:c>
      <x:c r="E57" s="14" t="n">
        <x:v>5</x:v>
      </x:c>
      <x:c r="F57" s="14" t="n">
        <x:v>2.5</x:v>
      </x:c>
      <x:c r="G57" s="14" t="n">
        <x:v>57915</x:v>
      </x:c>
      <x:c r="H57" s="14" t="n">
        <x:v>5684.85</x:v>
      </x:c>
      <x:c r="I57" s="14" t="n">
        <x:f>IFERROR(H57/G57,0)</x:f>
        <x:v>0.09815850815850817</x:v>
      </x:c>
      <x:c r="J57" s="14" t="n">
        <x:f>IF(C57=85,1,(E57*I57)/(1+(E57-IF(F57="",E57/2,F57))*I57))</x:f>
        <x:v>0.39408544288989755</x:v>
      </x:c>
      <x:c r="K57" s="14" t="n">
        <x:f>IF(OR(ROW()=2,A57&lt;&gt;A56,B57&lt;&gt;B56),100000,K56-L56)</x:f>
        <x:v>43675.57664208316</x:v>
      </x:c>
      <x:c r="L57" s="14" t="n">
        <x:f>K57*J57</x:f>
        <x:v>17211.908964467006</x:v>
      </x:c>
      <x:c r="M57" s="14" t="n">
        <x:f>IF(C57=85,K57/I57,E57*K57-(E57-F57)*L57)</x:f>
        <x:v>175348.11079924827</x:v>
      </x:c>
      <x:c r="N57" s="14" t="n">
        <x:f>SUMIFS(M:M,A:A,A57,B:B,B57,C:C,"&gt;="&amp;C57)</x:f>
        <x:v>302372.9670017647</x:v>
      </x:c>
      <x:c r="O57" s="14" t="n">
        <x:f>N57/K57</x:f>
        <x:v>6.92315912574389</x:v>
      </x:c>
      <x:c r="P57" s="14" t="str">
        <x:f>IF(C57=0,85-O57,"")</x:f>
      </x:c>
    </x:row>
    <x:row r="58">
      <x:c r="A58" s="14" t="n">
        <x:v>2019</x:v>
      </x:c>
      <x:c r="B58" s="14" t="str">
        <x:v>Hombres</x:v>
      </x:c>
      <x:c r="C58" s="14" t="n">
        <x:v>85</x:v>
      </x:c>
      <x:c r="D58" s="14" t="str">
        <x:v>85+</x:v>
      </x:c>
      <x:c r="E58" s="14" t="n">
        <x:v>999</x:v>
      </x:c>
      <x:c r="F58" s="14" t="str"/>
      <x:c r="G58" s="14" t="n">
        <x:v>43436</x:v>
      </x:c>
      <x:c r="H58" s="14" t="n">
        <x:v>9049.22</x:v>
      </x:c>
      <x:c r="I58" s="14" t="n">
        <x:f>IFERROR(H58/G58,0)</x:f>
        <x:v>0.20833456119348004</x:v>
      </x:c>
      <x:c r="J58" s="14" t="n">
        <x:f>IF(C58=85,1,(E58*I58)/(1+(E58-IF(F58="",E58/2,F58))*I58))</x:f>
        <x:v>1</x:v>
      </x:c>
      <x:c r="K58" s="14" t="n">
        <x:f>IF(OR(ROW()=2,A58&lt;&gt;A57,B58&lt;&gt;B57),100000,K57-L57)</x:f>
        <x:v>26463.66767761615</x:v>
      </x:c>
      <x:c r="L58" s="14" t="n">
        <x:f>K58*J58</x:f>
        <x:v>26463.66767761615</x:v>
      </x:c>
      <x:c r="M58" s="14" t="n">
        <x:f>IF(C58=85,K58/I58,E58*K58-(E58-F58)*L58)</x:f>
        <x:v>127024.85620251638</x:v>
      </x:c>
      <x:c r="N58" s="14" t="n">
        <x:f>SUMIFS(M:M,A:A,A58,B:B,B58,C:C,"&gt;="&amp;C58)</x:f>
        <x:v>127024.85620251638</x:v>
      </x:c>
      <x:c r="O58" s="14" t="n">
        <x:f>N58/K58</x:f>
        <x:v>4.799971710268952</x:v>
      </x:c>
      <x:c r="P58" s="14" t="str">
        <x:f>IF(C58=0,85-O58,"")</x:f>
      </x:c>
    </x:row>
    <x:row r="59">
      <x:c r="A59" s="14" t="n">
        <x:v>2019</x:v>
      </x:c>
      <x:c r="B59" s="14" t="str">
        <x:v>Mujeres</x:v>
      </x:c>
      <x:c r="C59" s="14" t="n">
        <x:v>0</x:v>
      </x:c>
      <x:c r="D59" s="14" t="str">
        <x:v>0</x:v>
      </x:c>
      <x:c r="E59" s="14" t="n">
        <x:v>1</x:v>
      </x:c>
      <x:c r="F59" s="14" t="n">
        <x:v>0.1</x:v>
      </x:c>
      <x:c r="G59" s="14" t="n">
        <x:v>43610</x:v>
      </x:c>
      <x:c r="H59" s="14" t="n">
        <x:v>160.79</x:v>
      </x:c>
      <x:c r="I59" s="14" t="n">
        <x:f>IFERROR(H59/G59,0)</x:f>
        <x:v>0.003686998394863563</x:v>
      </x:c>
      <x:c r="J59" s="14" t="n">
        <x:f>IF(C59=85,1,(E59*I59)/(1+(E59-IF(F59="",E59/2,F59))*I59))</x:f>
        <x:v>0.0036748042970732907</x:v>
      </x:c>
      <x:c r="K59" s="14" t="n">
        <x:f>IF(OR(ROW()=2,A59&lt;&gt;A58,B59&lt;&gt;B58),100000,K58-L58)</x:f>
        <x:v>100000</x:v>
      </x:c>
      <x:c r="L59" s="14" t="n">
        <x:f>K59*J59</x:f>
        <x:v>367.48042970732905</x:v>
      </x:c>
      <x:c r="M59" s="14" t="n">
        <x:f>IF(C59=85,K59/I59,E59*K59-(E59-F59)*L59)</x:f>
        <x:v>99669.26761326341</x:v>
      </x:c>
      <x:c r="N59" s="14" t="n">
        <x:f>SUMIFS(M:M,A:A,A59,B:B,B59,C:C,"&gt;="&amp;C59)</x:f>
        <x:v>8049994.882197662</x:v>
      </x:c>
      <x:c r="O59" s="14" t="n">
        <x:f>N59/K59</x:f>
        <x:v>80.49994882197662</x:v>
      </x:c>
      <x:c r="P59" s="14" t="n">
        <x:f>IF(C59=0,85-O59,"")</x:f>
        <x:v>4.500051178023384</x:v>
      </x:c>
    </x:row>
    <x:row r="60">
      <x:c r="A60" s="14" t="n">
        <x:v>2019</x:v>
      </x:c>
      <x:c r="B60" s="14" t="str">
        <x:v>Mujeres</x:v>
      </x:c>
      <x:c r="C60" s="14" t="n">
        <x:v>1</x:v>
      </x:c>
      <x:c r="D60" s="14" t="str">
        <x:v>1-4</x:v>
      </x:c>
      <x:c r="E60" s="14" t="n">
        <x:v>4</x:v>
      </x:c>
      <x:c r="F60" s="14" t="n">
        <x:v>2</x:v>
      </x:c>
      <x:c r="G60" s="14" t="n">
        <x:v>174441</x:v>
      </x:c>
      <x:c r="H60" s="14" t="n">
        <x:v>37.97</x:v>
      </x:c>
      <x:c r="I60" s="14" t="n">
        <x:f>IFERROR(H60/G60,0)</x:f>
        <x:v>0.00021766671826004206</x:v>
      </x:c>
      <x:c r="J60" s="14" t="n">
        <x:f>IF(C60=85,1,(E60*I60)/(1+(E60-IF(F60="",E60/2,F60))*I60))</x:f>
        <x:v>0.0008702880075710701</x:v>
      </x:c>
      <x:c r="K60" s="14" t="n">
        <x:f>IF(OR(ROW()=2,A60&lt;&gt;A59,B60&lt;&gt;B59),100000,K59-L59)</x:f>
        <x:v>99632.51957029267</x:v>
      </x:c>
      <x:c r="L60" s="14" t="n">
        <x:f>K60*J60</x:f>
        <x:v>86.70898694611566</x:v>
      </x:c>
      <x:c r="M60" s="14" t="n">
        <x:f>IF(C60=85,K60/I60,E60*K60-(E60-F60)*L60)</x:f>
        <x:v>398356.66030727845</x:v>
      </x:c>
      <x:c r="N60" s="14" t="n">
        <x:f>SUMIFS(M:M,A:A,A60,B:B,B60,C:C,"&gt;="&amp;C60)</x:f>
        <x:v>7950325.614584398</x:v>
      </x:c>
      <x:c r="O60" s="14" t="n">
        <x:f>N60/K60</x:f>
        <x:v>79.79649263988843</x:v>
      </x:c>
      <x:c r="P60" s="14" t="str">
        <x:f>IF(C60=0,85-O60,"")</x:f>
      </x:c>
    </x:row>
    <x:row r="61">
      <x:c r="A61" s="14" t="n">
        <x:v>2019</x:v>
      </x:c>
      <x:c r="B61" s="14" t="str">
        <x:v>Mujeres</x:v>
      </x:c>
      <x:c r="C61" s="14" t="n">
        <x:v>5</x:v>
      </x:c>
      <x:c r="D61" s="14" t="str">
        <x:v>5-9</x:v>
      </x:c>
      <x:c r="E61" s="14" t="n">
        <x:v>5</x:v>
      </x:c>
      <x:c r="F61" s="14" t="n">
        <x:v>2.5</x:v>
      </x:c>
      <x:c r="G61" s="14" t="n">
        <x:v>232589</x:v>
      </x:c>
      <x:c r="H61" s="14" t="n">
        <x:v>20.25</x:v>
      </x:c>
      <x:c r="I61" s="14" t="n">
        <x:f>IFERROR(H61/G61,0)</x:f>
        <x:v>0.00008706344668062547</x:v>
      </x:c>
      <x:c r="J61" s="14" t="n">
        <x:f>IF(C61=85,1,(E61*I61)/(1+(E61-IF(F61="",E61/2,F61))*I61))</x:f>
        <x:v>0.00043522250347506364</x:v>
      </x:c>
      <x:c r="K61" s="14" t="n">
        <x:f>IF(OR(ROW()=2,A61&lt;&gt;A60,B61&lt;&gt;B60),100000,K60-L60)</x:f>
        <x:v>99545.81058334655</x:v>
      </x:c>
      <x:c r="L61" s="14" t="n">
        <x:f>K61*J61</x:f>
        <x:v>43.32457689253857</x:v>
      </x:c>
      <x:c r="M61" s="14" t="n">
        <x:f>IF(C61=85,K61/I61,E61*K61-(E61-F61)*L61)</x:f>
        <x:v>497620.7414745014</x:v>
      </x:c>
      <x:c r="N61" s="14" t="n">
        <x:f>SUMIFS(M:M,A:A,A61,B:B,B61,C:C,"&gt;="&amp;C61)</x:f>
        <x:v>7551968.95427712</x:v>
      </x:c>
      <x:c r="O61" s="14" t="n">
        <x:f>N61/K61</x:f>
        <x:v>75.86425696894693</x:v>
      </x:c>
      <x:c r="P61" s="14" t="str">
        <x:f>IF(C61=0,85-O61,"")</x:f>
      </x:c>
    </x:row>
    <x:row r="62">
      <x:c r="A62" s="14" t="n">
        <x:v>2019</x:v>
      </x:c>
      <x:c r="B62" s="14" t="str">
        <x:v>Mujeres</x:v>
      </x:c>
      <x:c r="C62" s="14" t="n">
        <x:v>10</x:v>
      </x:c>
      <x:c r="D62" s="14" t="str">
        <x:v>10-14</x:v>
      </x:c>
      <x:c r="E62" s="14" t="n">
        <x:v>5</x:v>
      </x:c>
      <x:c r="F62" s="14" t="n">
        <x:v>2.5</x:v>
      </x:c>
      <x:c r="G62" s="14" t="n">
        <x:v>232589</x:v>
      </x:c>
      <x:c r="H62" s="14" t="n">
        <x:v>24.75</x:v>
      </x:c>
      <x:c r="I62" s="14" t="n">
        <x:f>IFERROR(H62/G62,0)</x:f>
        <x:v>0.00010641087927632003</x:v>
      </x:c>
      <x:c r="J62" s="14" t="n">
        <x:f>IF(C62=85,1,(E62*I62)/(1+(E62-IF(F62="",E62/2,F62))*I62))</x:f>
        <x:v>0.0005319128930849712</x:v>
      </x:c>
      <x:c r="K62" s="14" t="n">
        <x:f>IF(OR(ROW()=2,A62&lt;&gt;A61,B62&lt;&gt;B61),100000,K61-L61)</x:f>
        <x:v>99502.48600645401</x:v>
      </x:c>
      <x:c r="L62" s="14" t="n">
        <x:f>K62*J62</x:f>
        <x:v>52.92665520083981</x:v>
      </x:c>
      <x:c r="M62" s="14" t="n">
        <x:f>IF(C62=85,K62/I62,E62*K62-(E62-F62)*L62)</x:f>
        <x:v>497380.1133942679</x:v>
      </x:c>
      <x:c r="N62" s="14" t="n">
        <x:f>SUMIFS(M:M,A:A,A62,B:B,B62,C:C,"&gt;="&amp;C62)</x:f>
        <x:v>7054348.212802618</x:v>
      </x:c>
      <x:c r="O62" s="14" t="n">
        <x:f>N62/K62</x:f>
        <x:v>70.89620064713813</x:v>
      </x:c>
      <x:c r="P62" s="14" t="str">
        <x:f>IF(C62=0,85-O62,"")</x:f>
      </x:c>
    </x:row>
    <x:row r="63">
      <x:c r="A63" s="14" t="n">
        <x:v>2019</x:v>
      </x:c>
      <x:c r="B63" s="14" t="str">
        <x:v>Mujeres</x:v>
      </x:c>
      <x:c r="C63" s="14" t="n">
        <x:v>15</x:v>
      </x:c>
      <x:c r="D63" s="14" t="str">
        <x:v>15-19</x:v>
      </x:c>
      <x:c r="E63" s="14" t="n">
        <x:v>5</x:v>
      </x:c>
      <x:c r="F63" s="14" t="n">
        <x:v>2.5</x:v>
      </x:c>
      <x:c r="G63" s="14" t="n">
        <x:v>218052</x:v>
      </x:c>
      <x:c r="H63" s="14" t="n">
        <x:v>37.97</x:v>
      </x:c>
      <x:c r="I63" s="14" t="n">
        <x:f>IFERROR(H63/G63,0)</x:f>
        <x:v>0.00017413277566818923</x:v>
      </x:c>
      <x:c r="J63" s="14" t="n">
        <x:f>IF(C63=85,1,(E63*I63)/(1+(E63-IF(F63="",E63/2,F63))*I63))</x:f>
        <x:v>0.0008702850154775272</x:v>
      </x:c>
      <x:c r="K63" s="14" t="n">
        <x:f>IF(OR(ROW()=2,A63&lt;&gt;A62,B63&lt;&gt;B62),100000,K62-L62)</x:f>
        <x:v>99449.55935125318</x:v>
      </x:c>
      <x:c r="L63" s="14" t="n">
        <x:f>K63*J63</x:f>
        <x:v>86.54946129923863</x:v>
      </x:c>
      <x:c r="M63" s="14" t="n">
        <x:f>IF(C63=85,K63/I63,E63*K63-(E63-F63)*L63)</x:f>
        <x:v>497031.42310301785</x:v>
      </x:c>
      <x:c r="N63" s="14" t="n">
        <x:f>SUMIFS(M:M,A:A,A63,B:B,B63,C:C,"&gt;="&amp;C63)</x:f>
        <x:v>6556968.09940835</x:v>
      </x:c>
      <x:c r="O63" s="14" t="n">
        <x:f>N63/K63</x:f>
        <x:v>65.93260082982685</x:v>
      </x:c>
      <x:c r="P63" s="14" t="str">
        <x:f>IF(C63=0,85-O63,"")</x:f>
      </x:c>
    </x:row>
    <x:row r="64">
      <x:c r="A64" s="14" t="n">
        <x:v>2019</x:v>
      </x:c>
      <x:c r="B64" s="14" t="str">
        <x:v>Mujeres</x:v>
      </x:c>
      <x:c r="C64" s="14" t="n">
        <x:v>20</x:v>
      </x:c>
      <x:c r="D64" s="14" t="str">
        <x:v>20-24</x:v>
      </x:c>
      <x:c r="E64" s="14" t="n">
        <x:v>5</x:v>
      </x:c>
      <x:c r="F64" s="14" t="n">
        <x:v>2.5</x:v>
      </x:c>
      <x:c r="G64" s="14" t="n">
        <x:v>218052</x:v>
      </x:c>
      <x:c r="H64" s="14" t="n">
        <x:v>50.64</x:v>
      </x:c>
      <x:c r="I64" s="14" t="n">
        <x:f>IFERROR(H64/G64,0)</x:f>
        <x:v>0.00023223818171812227</x:v>
      </x:c>
      <x:c r="J64" s="14" t="n">
        <x:f>IF(C64=85,1,(E64*I64)/(1+(E64-IF(F64="",E64/2,F64))*I64))</x:f>
        <x:v>0.0011605171176274852</x:v>
      </x:c>
      <x:c r="K64" s="14" t="n">
        <x:f>IF(OR(ROW()=2,A64&lt;&gt;A63,B64&lt;&gt;B63),100000,K63-L63)</x:f>
        <x:v>99363.00988995394</x:v>
      </x:c>
      <x:c r="L64" s="14" t="n">
        <x:f>K64*J64</x:f>
        <x:v>115.31247383628066</x:v>
      </x:c>
      <x:c r="M64" s="14" t="n">
        <x:f>IF(C64=85,K64/I64,E64*K64-(E64-F64)*L64)</x:f>
        <x:v>496526.768265179</x:v>
      </x:c>
      <x:c r="N64" s="14" t="n">
        <x:f>SUMIFS(M:M,A:A,A64,B:B,B64,C:C,"&gt;="&amp;C64)</x:f>
        <x:v>6059936.676305332</x:v>
      </x:c>
      <x:c r="O64" s="14" t="n">
        <x:f>N64/K64</x:f>
        <x:v>60.98785335726851</x:v>
      </x:c>
      <x:c r="P64" s="14" t="str">
        <x:f>IF(C64=0,85-O64,"")</x:f>
      </x:c>
    </x:row>
    <x:row r="65">
      <x:c r="A65" s="14" t="n">
        <x:v>2019</x:v>
      </x:c>
      <x:c r="B65" s="14" t="str">
        <x:v>Mujeres</x:v>
      </x:c>
      <x:c r="C65" s="14" t="n">
        <x:v>25</x:v>
      </x:c>
      <x:c r="D65" s="14" t="str">
        <x:v>25-29</x:v>
      </x:c>
      <x:c r="E65" s="14" t="n">
        <x:v>5</x:v>
      </x:c>
      <x:c r="F65" s="14" t="n">
        <x:v>2.5</x:v>
      </x:c>
      <x:c r="G65" s="14" t="n">
        <x:v>203515</x:v>
      </x:c>
      <x:c r="H65" s="14" t="n">
        <x:v>63.03</x:v>
      </x:c>
      <x:c r="I65" s="14" t="n">
        <x:f>IFERROR(H65/G65,0)</x:f>
        <x:v>0.00030970690121121295</x:v>
      </x:c>
      <x:c r="J65" s="14" t="n">
        <x:f>IF(C65=85,1,(E65*I65)/(1+(E65-IF(F65="",E65/2,F65))*I65))</x:f>
        <x:v>0.0015473364541102308</x:v>
      </x:c>
      <x:c r="K65" s="14" t="n">
        <x:f>IF(OR(ROW()=2,A65&lt;&gt;A64,B65&lt;&gt;B64),100000,K64-L64)</x:f>
        <x:v>99247.69741611766</x:v>
      </x:c>
      <x:c r="L65" s="14" t="n">
        <x:f>K65*J65</x:f>
        <x:v>153.5695801984606</x:v>
      </x:c>
      <x:c r="M65" s="14" t="n">
        <x:f>IF(C65=85,K65/I65,E65*K65-(E65-F65)*L65)</x:f>
        <x:v>495854.56313009217</x:v>
      </x:c>
      <x:c r="N65" s="14" t="n">
        <x:f>SUMIFS(M:M,A:A,A65,B:B,B65,C:C,"&gt;="&amp;C65)</x:f>
        <x:v>5563409.908040153</x:v>
      </x:c>
      <x:c r="O65" s="14" t="n">
        <x:f>N65/K65</x:f>
        <x:v>56.05580837522447</x:v>
      </x:c>
      <x:c r="P65" s="14" t="str">
        <x:f>IF(C65=0,85-O65,"")</x:f>
      </x:c>
    </x:row>
    <x:row r="66">
      <x:c r="A66" s="14" t="n">
        <x:v>2019</x:v>
      </x:c>
      <x:c r="B66" s="14" t="str">
        <x:v>Mujeres</x:v>
      </x:c>
      <x:c r="C66" s="14" t="n">
        <x:v>30</x:v>
      </x:c>
      <x:c r="D66" s="14" t="str">
        <x:v>30-34</x:v>
      </x:c>
      <x:c r="E66" s="14" t="n">
        <x:v>5</x:v>
      </x:c>
      <x:c r="F66" s="14" t="n">
        <x:v>2.5</x:v>
      </x:c>
      <x:c r="G66" s="14" t="n">
        <x:v>203515</x:v>
      </x:c>
      <x:c r="H66" s="14" t="n">
        <x:v>86.69</x:v>
      </x:c>
      <x:c r="I66" s="14" t="n">
        <x:f>IFERROR(H66/G66,0)</x:f>
        <x:v>0.0004259636881802324</x:v>
      </x:c>
      <x:c r="J66" s="14" t="n">
        <x:f>IF(C66=85,1,(E66*I66)/(1+(E66-IF(F66="",E66/2,F66))*I66))</x:f>
        <x:v>0.002127552790317757</x:v>
      </x:c>
      <x:c r="K66" s="14" t="n">
        <x:f>IF(OR(ROW()=2,A66&lt;&gt;A65,B66&lt;&gt;B65),100000,K65-L65)</x:f>
        <x:v>99094.12783591921</x:v>
      </x:c>
      <x:c r="L66" s="14" t="n">
        <x:f>K66*J66</x:f>
        <x:v>210.8279881814144</x:v>
      </x:c>
      <x:c r="M66" s="14" t="n">
        <x:f>IF(C66=85,K66/I66,E66*K66-(E66-F66)*L66)</x:f>
        <x:v>494943.56920914253</x:v>
      </x:c>
      <x:c r="N66" s="14" t="n">
        <x:f>SUMIFS(M:M,A:A,A66,B:B,B66,C:C,"&gt;="&amp;C66)</x:f>
        <x:v>5067555.344910061</x:v>
      </x:c>
      <x:c r="O66" s="14" t="n">
        <x:f>N66/K66</x:f>
        <x:v>51.13880565456872</x:v>
      </x:c>
      <x:c r="P66" s="14" t="str">
        <x:f>IF(C66=0,85-O66,"")</x:f>
      </x:c>
    </x:row>
    <x:row r="67">
      <x:c r="A67" s="14" t="n">
        <x:v>2019</x:v>
      </x:c>
      <x:c r="B67" s="14" t="str">
        <x:v>Mujeres</x:v>
      </x:c>
      <x:c r="C67" s="14" t="n">
        <x:v>35</x:v>
      </x:c>
      <x:c r="D67" s="14" t="str">
        <x:v>35-39</x:v>
      </x:c>
      <x:c r="E67" s="14" t="n">
        <x:v>5</x:v>
      </x:c>
      <x:c r="F67" s="14" t="n">
        <x:v>2.5</x:v>
      </x:c>
      <x:c r="G67" s="14" t="n">
        <x:v>188978</x:v>
      </x:c>
      <x:c r="H67" s="14" t="n">
        <x:v>117.14</x:v>
      </x:c>
      <x:c r="I67" s="14" t="n">
        <x:f>IFERROR(H67/G67,0)</x:f>
        <x:v>0.0006198605128639313</x:v>
      </x:c>
      <x:c r="J67" s="14" t="n">
        <x:f>IF(C67=85,1,(E67*I67)/(1+(E67-IF(F67="",E67/2,F67))*I67))</x:f>
        <x:v>0.0030945071573356387</x:v>
      </x:c>
      <x:c r="K67" s="14" t="n">
        <x:f>IF(OR(ROW()=2,A67&lt;&gt;A66,B67&lt;&gt;B66),100000,K66-L66)</x:f>
        <x:v>98883.2998477378</x:v>
      </x:c>
      <x:c r="L67" s="14" t="n">
        <x:f>K67*J67</x:f>
        <x:v>305.9950791197907</x:v>
      </x:c>
      <x:c r="M67" s="14" t="n">
        <x:f>IF(C67=85,K67/I67,E67*K67-(E67-F67)*L67)</x:f>
        <x:v>493651.5115408895</x:v>
      </x:c>
      <x:c r="N67" s="14" t="n">
        <x:f>SUMIFS(M:M,A:A,A67,B:B,B67,C:C,"&gt;="&amp;C67)</x:f>
        <x:v>4572611.7757009175</x:v>
      </x:c>
      <x:c r="O67" s="14" t="n">
        <x:f>N67/K67</x:f>
        <x:v>46.24250791328671</x:v>
      </x:c>
      <x:c r="P67" s="14" t="str">
        <x:f>IF(C67=0,85-O67,"")</x:f>
      </x:c>
    </x:row>
    <x:row r="68">
      <x:c r="A68" s="14" t="n">
        <x:v>2019</x:v>
      </x:c>
      <x:c r="B68" s="14" t="str">
        <x:v>Mujeres</x:v>
      </x:c>
      <x:c r="C68" s="14" t="n">
        <x:v>40</x:v>
      </x:c>
      <x:c r="D68" s="14" t="str">
        <x:v>40-44</x:v>
      </x:c>
      <x:c r="E68" s="14" t="n">
        <x:v>5</x:v>
      </x:c>
      <x:c r="F68" s="14" t="n">
        <x:v>2.5</x:v>
      </x:c>
      <x:c r="G68" s="14" t="n">
        <x:v>174441</x:v>
      </x:c>
      <x:c r="H68" s="14" t="n">
        <x:v>169.1</x:v>
      </x:c>
      <x:c r="I68" s="14" t="n">
        <x:f>IFERROR(H68/G68,0)</x:f>
        <x:v>0.0009693821979924445</x:v>
      </x:c>
      <x:c r="J68" s="14" t="n">
        <x:f>IF(C68=85,1,(E68*I68)/(1+(E68-IF(F68="",E68/2,F68))*I68))</x:f>
        <x:v>0.004835193114639255</x:v>
      </x:c>
      <x:c r="K68" s="14" t="n">
        <x:f>IF(OR(ROW()=2,A68&lt;&gt;A67,B68&lt;&gt;B67),100000,K67-L67)</x:f>
        <x:v>98577.304768618</x:v>
      </x:c>
      <x:c r="L68" s="14" t="n">
        <x:f>K68*J68</x:f>
        <x:v>476.6403052769172</x:v>
      </x:c>
      <x:c r="M68" s="14" t="n">
        <x:f>IF(C68=85,K68/I68,E68*K68-(E68-F68)*L68)</x:f>
        <x:v>491694.92307989777</x:v>
      </x:c>
      <x:c r="N68" s="14" t="n">
        <x:f>SUMIFS(M:M,A:A,A68,B:B,B68,C:C,"&gt;="&amp;C68)</x:f>
        <x:v>4078960.264160028</x:v>
      </x:c>
      <x:c r="O68" s="14" t="n">
        <x:f>N68/K68</x:f>
        <x:v>41.3782895944885</x:v>
      </x:c>
      <x:c r="P68" s="14" t="str">
        <x:f>IF(C68=0,85-O68,"")</x:f>
      </x:c>
    </x:row>
    <x:row r="69">
      <x:c r="A69" s="14" t="n">
        <x:v>2019</x:v>
      </x:c>
      <x:c r="B69" s="14" t="str">
        <x:v>Mujeres</x:v>
      </x:c>
      <x:c r="C69" s="14" t="n">
        <x:v>45</x:v>
      </x:c>
      <x:c r="D69" s="14" t="str">
        <x:v>45-49</x:v>
      </x:c>
      <x:c r="E69" s="14" t="n">
        <x:v>5</x:v>
      </x:c>
      <x:c r="F69" s="14" t="n">
        <x:v>2.5</x:v>
      </x:c>
      <x:c r="G69" s="14" t="n">
        <x:v>159905</x:v>
      </x:c>
      <x:c r="H69" s="14" t="n">
        <x:v>263.96</x:v>
      </x:c>
      <x:c r="I69" s="14" t="n">
        <x:f>IFERROR(H69/G69,0)</x:f>
        <x:v>0.0016507301210093492</x:v>
      </x:c>
      <x:c r="J69" s="14" t="n">
        <x:f>IF(C69=85,1,(E69*I69)/(1+(E69-IF(F69="",E69/2,F69))*I69))</x:f>
        <x:v>0.008219729218527837</x:v>
      </x:c>
      <x:c r="K69" s="14" t="n">
        <x:f>IF(OR(ROW()=2,A69&lt;&gt;A68,B69&lt;&gt;B68),100000,K68-L68)</x:f>
        <x:v>98100.66446334109</x:v>
      </x:c>
      <x:c r="L69" s="14" t="n">
        <x:f>K69*J69</x:f>
        <x:v>806.3608980463201</x:v>
      </x:c>
      <x:c r="M69" s="14" t="n">
        <x:f>IF(C69=85,K69/I69,E69*K69-(E69-F69)*L69)</x:f>
        <x:v>488487.4200715897</x:v>
      </x:c>
      <x:c r="N69" s="14" t="n">
        <x:f>SUMIFS(M:M,A:A,A69,B:B,B69,C:C,"&gt;="&amp;C69)</x:f>
        <x:v>3587265.34108013</x:v>
      </x:c>
      <x:c r="O69" s="14" t="n">
        <x:f>N69/K69</x:f>
        <x:v>36.567186988021305</x:v>
      </x:c>
      <x:c r="P69" s="14" t="str">
        <x:f>IF(C69=0,85-O69,"")</x:f>
      </x:c>
    </x:row>
    <x:row r="70">
      <x:c r="A70" s="14" t="n">
        <x:v>2019</x:v>
      </x:c>
      <x:c r="B70" s="14" t="str">
        <x:v>Mujeres</x:v>
      </x:c>
      <x:c r="C70" s="14" t="n">
        <x:v>50</x:v>
      </x:c>
      <x:c r="D70" s="14" t="str">
        <x:v>50-54</x:v>
      </x:c>
      <x:c r="E70" s="14" t="n">
        <x:v>5</x:v>
      </x:c>
      <x:c r="F70" s="14" t="n">
        <x:v>2.5</x:v>
      </x:c>
      <x:c r="G70" s="14" t="n">
        <x:v>145368</x:v>
      </x:c>
      <x:c r="H70" s="14" t="n">
        <x:v>396.29</x:v>
      </x:c>
      <x:c r="I70" s="14" t="n">
        <x:f>IFERROR(H70/G70,0)</x:f>
        <x:v>0.0027261157888943924</x:v>
      </x:c>
      <x:c r="J70" s="14" t="n">
        <x:f>IF(C70=85,1,(E70*I70)/(1+(E70-IF(F70="",E70/2,F70))*I70))</x:f>
        <x:v>0.01353831143309017</x:v>
      </x:c>
      <x:c r="K70" s="14" t="n">
        <x:f>IF(OR(ROW()=2,A70&lt;&gt;A69,B70&lt;&gt;B69),100000,K69-L69)</x:f>
        <x:v>97294.30356529477</x:v>
      </x:c>
      <x:c r="L70" s="14" t="n">
        <x:f>K70*J70</x:f>
        <x:v>1317.200582332576</x:v>
      </x:c>
      <x:c r="M70" s="14" t="n">
        <x:f>IF(C70=85,K70/I70,E70*K70-(E70-F70)*L70)</x:f>
        <x:v>483178.5163706424</x:v>
      </x:c>
      <x:c r="N70" s="14" t="n">
        <x:f>SUMIFS(M:M,A:A,A70,B:B,B70,C:C,"&gt;="&amp;C70)</x:f>
        <x:v>3098777.921008541</x:v>
      </x:c>
      <x:c r="O70" s="14" t="n">
        <x:f>N70/K70</x:f>
        <x:v>31.849530830229263</x:v>
      </x:c>
      <x:c r="P70" s="14" t="str">
        <x:f>IF(C70=0,85-O70,"")</x:f>
      </x:c>
    </x:row>
    <x:row r="71">
      <x:c r="A71" s="14" t="n">
        <x:v>2019</x:v>
      </x:c>
      <x:c r="B71" s="14" t="str">
        <x:v>Mujeres</x:v>
      </x:c>
      <x:c r="C71" s="14" t="n">
        <x:v>55</x:v>
      </x:c>
      <x:c r="D71" s="14" t="str">
        <x:v>55-59</x:v>
      </x:c>
      <x:c r="E71" s="14" t="n">
        <x:v>5</x:v>
      </x:c>
      <x:c r="F71" s="14" t="n">
        <x:v>2.5</x:v>
      </x:c>
      <x:c r="G71" s="14" t="n">
        <x:v>130831</x:v>
      </x:c>
      <x:c r="H71" s="14" t="n">
        <x:v>614.41</x:v>
      </x:c>
      <x:c r="I71" s="14" t="n">
        <x:f>IFERROR(H71/G71,0)</x:f>
        <x:v>0.004696211142619104</x:v>
      </x:c>
      <x:c r="J71" s="14" t="n">
        <x:f>IF(C71=85,1,(E71*I71)/(1+(E71-IF(F71="",E71/2,F71))*I71))</x:f>
        <x:v>0.023208574794213285</x:v>
      </x:c>
      <x:c r="K71" s="14" t="n">
        <x:f>IF(OR(ROW()=2,A71&lt;&gt;A70,B71&lt;&gt;B70),100000,K70-L70)</x:f>
        <x:v>95977.1029829622</x:v>
      </x:c>
      <x:c r="L71" s="14" t="n">
        <x:f>K71*J71</x:f>
        <x:v>2227.491773111989</x:v>
      </x:c>
      <x:c r="M71" s="14" t="n">
        <x:f>IF(C71=85,K71/I71,E71*K71-(E71-F71)*L71)</x:f>
        <x:v>474316.78548203106</x:v>
      </x:c>
      <x:c r="N71" s="14" t="n">
        <x:f>SUMIFS(M:M,A:A,A71,B:B,B71,C:C,"&gt;="&amp;C71)</x:f>
        <x:v>2615599.4046378983</x:v>
      </x:c>
      <x:c r="O71" s="14" t="n">
        <x:f>N71/K71</x:f>
        <x:v>27.252327100373286</x:v>
      </x:c>
      <x:c r="P71" s="14" t="str">
        <x:f>IF(C71=0,85-O71,"")</x:f>
      </x:c>
    </x:row>
    <x:row r="72">
      <x:c r="A72" s="14" t="n">
        <x:v>2019</x:v>
      </x:c>
      <x:c r="B72" s="14" t="str">
        <x:v>Mujeres</x:v>
      </x:c>
      <x:c r="C72" s="14" t="n">
        <x:v>60</x:v>
      </x:c>
      <x:c r="D72" s="14" t="str">
        <x:v>60-64</x:v>
      </x:c>
      <x:c r="E72" s="14" t="n">
        <x:v>5</x:v>
      </x:c>
      <x:c r="F72" s="14" t="n">
        <x:v>2.5</x:v>
      </x:c>
      <x:c r="G72" s="14" t="n">
        <x:v>116294</x:v>
      </x:c>
      <x:c r="H72" s="14" t="n">
        <x:v>917.42</x:v>
      </x:c>
      <x:c r="I72" s="14" t="n">
        <x:f>IFERROR(H72/G72,0)</x:f>
        <x:v>0.00788879907819836</x:v>
      </x:c>
      <x:c r="J72" s="14" t="n">
        <x:f>IF(C72=85,1,(E72*I72)/(1+(E72-IF(F72="",E72/2,F72))*I72))</x:f>
        <x:v>0.03868112630710391</x:v>
      </x:c>
      <x:c r="K72" s="14" t="n">
        <x:f>IF(OR(ROW()=2,A72&lt;&gt;A71,B72&lt;&gt;B71),100000,K71-L71)</x:f>
        <x:v>93749.6112098502</x:v>
      </x:c>
      <x:c r="L72" s="14" t="n">
        <x:f>K72*J72</x:f>
        <x:v>3626.3405524501004</x:v>
      </x:c>
      <x:c r="M72" s="14" t="n">
        <x:f>IF(C72=85,K72/I72,E72*K72-(E72-F72)*L72)</x:f>
        <x:v>459682.2046681257</x:v>
      </x:c>
      <x:c r="N72" s="14" t="n">
        <x:f>SUMIFS(M:M,A:A,A72,B:B,B72,C:C,"&gt;="&amp;C72)</x:f>
        <x:v>2141282.6191558675</x:v>
      </x:c>
      <x:c r="O72" s="14" t="n">
        <x:f>N72/K72</x:f>
        <x:v>22.840442659146564</x:v>
      </x:c>
      <x:c r="P72" s="14" t="str">
        <x:f>IF(C72=0,85-O72,"")</x:f>
      </x:c>
    </x:row>
    <x:row r="73">
      <x:c r="A73" s="14" t="n">
        <x:v>2019</x:v>
      </x:c>
      <x:c r="B73" s="14" t="str">
        <x:v>Mujeres</x:v>
      </x:c>
      <x:c r="C73" s="14" t="n">
        <x:v>65</x:v>
      </x:c>
      <x:c r="D73" s="14" t="str">
        <x:v>65-69</x:v>
      </x:c>
      <x:c r="E73" s="14" t="n">
        <x:v>5</x:v>
      </x:c>
      <x:c r="F73" s="14" t="n">
        <x:v>2.5</x:v>
      </x:c>
      <x:c r="G73" s="14" t="n">
        <x:v>101758</x:v>
      </x:c>
      <x:c r="H73" s="14" t="n">
        <x:v>1320.73</x:v>
      </x:c>
      <x:c r="I73" s="14" t="n">
        <x:f>IFERROR(H73/G73,0)</x:f>
        <x:v>0.01297912694824977</x:v>
      </x:c>
      <x:c r="J73" s="14" t="n">
        <x:f>IF(C73=85,1,(E73*I73)/(1+(E73-IF(F73="",E73/2,F73))*I73))</x:f>
        <x:v>0.06285609175534035</x:v>
      </x:c>
      <x:c r="K73" s="14" t="n">
        <x:f>IF(OR(ROW()=2,A73&lt;&gt;A72,B73&lt;&gt;B72),100000,K72-L72)</x:f>
        <x:v>90123.2706574001</x:v>
      </x:c>
      <x:c r="L73" s="14" t="n">
        <x:f>K73*J73</x:f>
        <x:v>5664.796569732914</x:v>
      </x:c>
      <x:c r="M73" s="14" t="n">
        <x:f>IF(C73=85,K73/I73,E73*K73-(E73-F73)*L73)</x:f>
        <x:v>436454.3618626683</x:v>
      </x:c>
      <x:c r="N73" s="14" t="n">
        <x:f>SUMIFS(M:M,A:A,A73,B:B,B73,C:C,"&gt;="&amp;C73)</x:f>
        <x:v>1681600.4144877417</x:v>
      </x:c>
      <x:c r="O73" s="14" t="n">
        <x:f>N73/K73</x:f>
        <x:v>18.658892450544503</x:v>
      </x:c>
      <x:c r="P73" s="14" t="str">
        <x:f>IF(C73=0,85-O73,"")</x:f>
      </x:c>
    </x:row>
    <x:row r="74">
      <x:c r="A74" s="14" t="n">
        <x:v>2019</x:v>
      </x:c>
      <x:c r="B74" s="14" t="str">
        <x:v>Mujeres</x:v>
      </x:c>
      <x:c r="C74" s="14" t="n">
        <x:v>70</x:v>
      </x:c>
      <x:c r="D74" s="14" t="str">
        <x:v>70-74</x:v>
      </x:c>
      <x:c r="E74" s="14" t="n">
        <x:v>5</x:v>
      </x:c>
      <x:c r="F74" s="14" t="n">
        <x:v>2.5</x:v>
      </x:c>
      <x:c r="G74" s="14" t="n">
        <x:v>87221</x:v>
      </x:c>
      <x:c r="H74" s="14" t="n">
        <x:v>1865.97</x:v>
      </x:c>
      <x:c r="I74" s="14" t="n">
        <x:f>IFERROR(H74/G74,0)</x:f>
        <x:v>0.021393586406943284</x:v>
      </x:c>
      <x:c r="J74" s="14" t="n">
        <x:f>IF(C74=85,1,(E74*I74)/(1+(E74-IF(F74="",E74/2,F74))*I74))</x:f>
        <x:v>0.10153731379425085</x:v>
      </x:c>
      <x:c r="K74" s="14" t="n">
        <x:f>IF(OR(ROW()=2,A74&lt;&gt;A73,B74&lt;&gt;B73),100000,K73-L73)</x:f>
        <x:v>84458.47408766719</x:v>
      </x:c>
      <x:c r="L74" s="14" t="n">
        <x:f>K74*J74</x:f>
        <x:v>8575.686586023066</x:v>
      </x:c>
      <x:c r="M74" s="14" t="n">
        <x:f>IF(C74=85,K74/I74,E74*K74-(E74-F74)*L74)</x:f>
        <x:v>400853.15397327824</x:v>
      </x:c>
      <x:c r="N74" s="14" t="n">
        <x:f>SUMIFS(M:M,A:A,A74,B:B,B74,C:C,"&gt;="&amp;C74)</x:f>
        <x:v>1245146.0526250734</x:v>
      </x:c>
      <x:c r="O74" s="14" t="n">
        <x:f>N74/K74</x:f>
        <x:v>14.742701263257755</x:v>
      </x:c>
      <x:c r="P74" s="14" t="str">
        <x:f>IF(C74=0,85-O74,"")</x:f>
      </x:c>
    </x:row>
    <x:row r="75">
      <x:c r="A75" s="14" t="n">
        <x:v>2019</x:v>
      </x:c>
      <x:c r="B75" s="14" t="str">
        <x:v>Mujeres</x:v>
      </x:c>
      <x:c r="C75" s="14" t="n">
        <x:v>75</x:v>
      </x:c>
      <x:c r="D75" s="14" t="str">
        <x:v>75-79</x:v>
      </x:c>
      <x:c r="E75" s="14" t="n">
        <x:v>5</x:v>
      </x:c>
      <x:c r="F75" s="14" t="n">
        <x:v>2.5</x:v>
      </x:c>
      <x:c r="G75" s="14" t="n">
        <x:v>72684</x:v>
      </x:c>
      <x:c r="H75" s="14" t="n">
        <x:v>2603.78</x:v>
      </x:c>
      <x:c r="I75" s="14" t="n">
        <x:f>IFERROR(H75/G75,0)</x:f>
        <x:v>0.0358232898574652</x:v>
      </x:c>
      <x:c r="J75" s="14" t="n">
        <x:f>IF(C75=85,1,(E75*I75)/(1+(E75-IF(F75="",E75/2,F75))*I75))</x:f>
        <x:v>0.16439364619169894</x:v>
      </x:c>
      <x:c r="K75" s="14" t="n">
        <x:f>IF(OR(ROW()=2,A75&lt;&gt;A74,B75&lt;&gt;B74),100000,K74-L74)</x:f>
        <x:v>75882.78750164412</x:v>
      </x:c>
      <x:c r="L75" s="14" t="n">
        <x:f>K75*J75</x:f>
        <x:v>12474.648120585158</x:v>
      </x:c>
      <x:c r="M75" s="14" t="n">
        <x:f>IF(C75=85,K75/I75,E75*K75-(E75-F75)*L75)</x:f>
        <x:v>348227.3172067577</x:v>
      </x:c>
      <x:c r="N75" s="14" t="n">
        <x:f>SUMIFS(M:M,A:A,A75,B:B,B75,C:C,"&gt;="&amp;C75)</x:f>
        <x:v>844292.898651795</x:v>
      </x:c>
      <x:c r="O75" s="14" t="n">
        <x:f>N75/K75</x:f>
        <x:v>11.126276807286528</x:v>
      </x:c>
      <x:c r="P75" s="14" t="str">
        <x:f>IF(C75=0,85-O75,"")</x:f>
      </x:c>
    </x:row>
    <x:row r="76">
      <x:c r="A76" s="14" t="n">
        <x:v>2019</x:v>
      </x:c>
      <x:c r="B76" s="14" t="str">
        <x:v>Mujeres</x:v>
      </x:c>
      <x:c r="C76" s="14" t="n">
        <x:v>80</x:v>
      </x:c>
      <x:c r="D76" s="14" t="str">
        <x:v>80-84</x:v>
      </x:c>
      <x:c r="E76" s="14" t="n">
        <x:v>5</x:v>
      </x:c>
      <x:c r="F76" s="14" t="n">
        <x:v>2.5</x:v>
      </x:c>
      <x:c r="G76" s="14" t="n">
        <x:v>58147</x:v>
      </x:c>
      <x:c r="H76" s="14" t="n">
        <x:v>3641.91</x:v>
      </x:c>
      <x:c r="I76" s="14" t="n">
        <x:f>IFERROR(H76/G76,0)</x:f>
        <x:v>0.06263280994720277</x:v>
      </x:c>
      <x:c r="J76" s="14" t="n">
        <x:f>IF(C76=85,1,(E76*I76)/(1+(E76-IF(F76="",E76/2,F76))*I76))</x:f>
        <x:v>0.27076683106133626</x:v>
      </x:c>
      <x:c r="K76" s="14" t="n">
        <x:f>IF(OR(ROW()=2,A76&lt;&gt;A75,B76&lt;&gt;B75),100000,K75-L75)</x:f>
        <x:v>63408.139381058965</x:v>
      </x:c>
      <x:c r="L76" s="14" t="n">
        <x:f>K76*J76</x:f>
        <x:v>17168.820963704857</x:v>
      </x:c>
      <x:c r="M76" s="14" t="n">
        <x:f>IF(C76=85,K76/I76,E76*K76-(E76-F76)*L76)</x:f>
        <x:v>274118.6444960327</x:v>
      </x:c>
      <x:c r="N76" s="14" t="n">
        <x:f>SUMIFS(M:M,A:A,A76,B:B,B76,C:C,"&gt;="&amp;C76)</x:f>
        <x:v>496065.5814450374</x:v>
      </x:c>
      <x:c r="O76" s="14" t="n">
        <x:f>N76/K76</x:f>
        <x:v>7.82337388050248</x:v>
      </x:c>
      <x:c r="P76" s="14" t="str">
        <x:f>IF(C76=0,85-O76,"")</x:f>
      </x:c>
    </x:row>
    <x:row r="77">
      <x:c r="A77" s="14" t="n">
        <x:v>2019</x:v>
      </x:c>
      <x:c r="B77" s="14" t="str">
        <x:v>Mujeres</x:v>
      </x:c>
      <x:c r="C77" s="14" t="n">
        <x:v>85</x:v>
      </x:c>
      <x:c r="D77" s="14" t="str">
        <x:v>85+</x:v>
      </x:c>
      <x:c r="E77" s="14" t="n">
        <x:v>999</x:v>
      </x:c>
      <x:c r="F77" s="14" t="str"/>
      <x:c r="G77" s="14" t="n">
        <x:v>43610</x:v>
      </x:c>
      <x:c r="H77" s="14" t="n">
        <x:v>9085.49</x:v>
      </x:c>
      <x:c r="I77" s="14" t="n">
        <x:f>IFERROR(H77/G77,0)</x:f>
        <x:v>0.20833501490483833</x:v>
      </x:c>
      <x:c r="J77" s="14" t="n">
        <x:f>IF(C77=85,1,(E77*I77)/(1+(E77-IF(F77="",E77/2,F77))*I77))</x:f>
        <x:v>1</x:v>
      </x:c>
      <x:c r="K77" s="14" t="n">
        <x:f>IF(OR(ROW()=2,A77&lt;&gt;A76,B77&lt;&gt;B76),100000,K76-L76)</x:f>
        <x:v>46239.31841735411</x:v>
      </x:c>
      <x:c r="L77" s="14" t="n">
        <x:f>K77*J77</x:f>
        <x:v>46239.31841735411</x:v>
      </x:c>
      <x:c r="M77" s="14" t="n">
        <x:f>IF(C77=85,K77/I77,E77*K77-(E77-F77)*L77)</x:f>
        <x:v>221946.9369490047</x:v>
      </x:c>
      <x:c r="N77" s="14" t="n">
        <x:f>SUMIFS(M:M,A:A,A77,B:B,B77,C:C,"&gt;="&amp;C77)</x:f>
        <x:v>221946.9369490047</x:v>
      </x:c>
      <x:c r="O77" s="14" t="n">
        <x:f>N77/K77</x:f>
        <x:v>4.799961256905242</x:v>
      </x:c>
      <x:c r="P77" s="14" t="str">
        <x:f>IF(C77=0,85-O77,"")</x:f>
      </x:c>
    </x:row>
    <x:row r="78">
      <x:c r="A78" s="14" t="n">
        <x:v>2021</x:v>
      </x:c>
      <x:c r="B78" s="14" t="str">
        <x:v>Hombres</x:v>
      </x:c>
      <x:c r="C78" s="14" t="n">
        <x:v>0</x:v>
      </x:c>
      <x:c r="D78" s="14" t="str">
        <x:v>0</x:v>
      </x:c>
      <x:c r="E78" s="14" t="n">
        <x:v>1</x:v>
      </x:c>
      <x:c r="F78" s="14" t="n">
        <x:v>0.1</x:v>
      </x:c>
      <x:c r="G78" s="14" t="n">
        <x:v>44867</x:v>
      </x:c>
      <x:c r="H78" s="14" t="n">
        <x:v>319.28</x:v>
      </x:c>
      <x:c r="I78" s="14" t="n">
        <x:f>IFERROR(H78/G78,0)</x:f>
        <x:v>0.007116143267880624</x:v>
      </x:c>
      <x:c r="J78" s="14" t="n">
        <x:f>IF(C78=85,1,(E78*I78)/(1+(E78-IF(F78="",E78/2,F78))*I78))</x:f>
        <x:v>0.0070708577547519665</x:v>
      </x:c>
      <x:c r="K78" s="14" t="n">
        <x:f>IF(OR(ROW()=2,A78&lt;&gt;A77,B78&lt;&gt;B77),100000,K77-L77)</x:f>
        <x:v>100000</x:v>
      </x:c>
      <x:c r="L78" s="14" t="n">
        <x:f>K78*J78</x:f>
        <x:v>707.0857754751967</x:v>
      </x:c>
      <x:c r="M78" s="14" t="n">
        <x:f>IF(C78=85,K78/I78,E78*K78-(E78-F78)*L78)</x:f>
        <x:v>99363.62280207232</x:v>
      </x:c>
      <x:c r="N78" s="14" t="n">
        <x:f>SUMIFS(M:M,A:A,A78,B:B,B78,C:C,"&gt;="&amp;C78)</x:f>
        <x:v>6709999.648752402</x:v>
      </x:c>
      <x:c r="O78" s="14" t="n">
        <x:f>N78/K78</x:f>
        <x:v>67.09999648752401</x:v>
      </x:c>
      <x:c r="P78" s="14" t="n">
        <x:f>IF(C78=0,85-O78,"")</x:f>
        <x:v>17.90000351247599</x:v>
      </x:c>
    </x:row>
    <x:row r="79">
      <x:c r="A79" s="14" t="n">
        <x:v>2021</x:v>
      </x:c>
      <x:c r="B79" s="14" t="str">
        <x:v>Hombres</x:v>
      </x:c>
      <x:c r="C79" s="14" t="n">
        <x:v>1</x:v>
      </x:c>
      <x:c r="D79" s="14" t="str">
        <x:v>1-4</x:v>
      </x:c>
      <x:c r="E79" s="14" t="n">
        <x:v>4</x:v>
      </x:c>
      <x:c r="F79" s="14" t="n">
        <x:v>2</x:v>
      </x:c>
      <x:c r="G79" s="14" t="n">
        <x:v>179468</x:v>
      </x:c>
      <x:c r="H79" s="14" t="n">
        <x:v>84.72</x:v>
      </x:c>
      <x:c r="I79" s="14" t="n">
        <x:f>IFERROR(H79/G79,0)</x:f>
        <x:v>0.00047206187175429605</x:v>
      </x:c>
      <x:c r="J79" s="14" t="n">
        <x:f>IF(C79=85,1,(E79*I79)/(1+(E79-IF(F79="",E79/2,F79))*I79))</x:f>
        <x:v>0.0018864664292699786</x:v>
      </x:c>
      <x:c r="K79" s="14" t="n">
        <x:f>IF(OR(ROW()=2,A79&lt;&gt;A78,B79&lt;&gt;B78),100000,K78-L78)</x:f>
        <x:v>99292.91422452481</x:v>
      </x:c>
      <x:c r="L79" s="14" t="n">
        <x:f>K79*J79</x:f>
        <x:v>187.31274934894958</x:v>
      </x:c>
      <x:c r="M79" s="14" t="n">
        <x:f>IF(C79=85,K79/I79,E79*K79-(E79-F79)*L79)</x:f>
        <x:v>396797.0313994013</x:v>
      </x:c>
      <x:c r="N79" s="14" t="n">
        <x:f>SUMIFS(M:M,A:A,A79,B:B,B79,C:C,"&gt;="&amp;C79)</x:f>
        <x:v>6610636.025950329</x:v>
      </x:c>
      <x:c r="O79" s="14" t="n">
        <x:f>N79/K79</x:f>
        <x:v>66.57711758768723</x:v>
      </x:c>
      <x:c r="P79" s="14" t="str">
        <x:f>IF(C79=0,85-O79,"")</x:f>
      </x:c>
    </x:row>
    <x:row r="80">
      <x:c r="A80" s="14" t="n">
        <x:v>2021</x:v>
      </x:c>
      <x:c r="B80" s="14" t="str">
        <x:v>Hombres</x:v>
      </x:c>
      <x:c r="C80" s="14" t="n">
        <x:v>5</x:v>
      </x:c>
      <x:c r="D80" s="14" t="str">
        <x:v>5-9</x:v>
      </x:c>
      <x:c r="E80" s="14" t="n">
        <x:v>5</x:v>
      </x:c>
      <x:c r="F80" s="14" t="n">
        <x:v>2.5</x:v>
      </x:c>
      <x:c r="G80" s="14" t="n">
        <x:v>239290</x:v>
      </x:c>
      <x:c r="H80" s="14" t="n">
        <x:v>45.27</x:v>
      </x:c>
      <x:c r="I80" s="14" t="n">
        <x:f>IFERROR(H80/G80,0)</x:f>
        <x:v>0.00018918467131931967</x:v>
      </x:c>
      <x:c r="J80" s="14" t="n">
        <x:f>IF(C80=85,1,(E80*I80)/(1+(E80-IF(F80="",E80/2,F80))*I80))</x:f>
        <x:v>0.0009454761825944874</x:v>
      </x:c>
      <x:c r="K80" s="14" t="n">
        <x:f>IF(OR(ROW()=2,A80&lt;&gt;A79,B80&lt;&gt;B79),100000,K79-L79)</x:f>
        <x:v>99105.60147517586</x:v>
      </x:c>
      <x:c r="L80" s="14" t="n">
        <x:f>K80*J80</x:f>
        <x:v>93.70198575647987</x:v>
      </x:c>
      <x:c r="M80" s="14" t="n">
        <x:f>IF(C80=85,K80/I80,E80*K80-(E80-F80)*L80)</x:f>
        <x:v>495293.75241148815</x:v>
      </x:c>
      <x:c r="N80" s="14" t="n">
        <x:f>SUMIFS(M:M,A:A,A80,B:B,B80,C:C,"&gt;="&amp;C80)</x:f>
        <x:v>6213838.994550928</x:v>
      </x:c>
      <x:c r="O80" s="14" t="n">
        <x:f>N80/K80</x:f>
        <x:v>62.699170400649656</x:v>
      </x:c>
      <x:c r="P80" s="14" t="str">
        <x:f>IF(C80=0,85-O80,"")</x:f>
      </x:c>
    </x:row>
    <x:row r="81">
      <x:c r="A81" s="14" t="n">
        <x:v>2021</x:v>
      </x:c>
      <x:c r="B81" s="14" t="str">
        <x:v>Hombres</x:v>
      </x:c>
      <x:c r="C81" s="14" t="n">
        <x:v>10</x:v>
      </x:c>
      <x:c r="D81" s="14" t="str">
        <x:v>10-14</x:v>
      </x:c>
      <x:c r="E81" s="14" t="n">
        <x:v>5</x:v>
      </x:c>
      <x:c r="F81" s="14" t="n">
        <x:v>2.5</x:v>
      </x:c>
      <x:c r="G81" s="14" t="n">
        <x:v>239290</x:v>
      </x:c>
      <x:c r="H81" s="14" t="n">
        <x:v>60.68</x:v>
      </x:c>
      <x:c r="I81" s="14" t="n">
        <x:f>IFERROR(H81/G81,0)</x:f>
        <x:v>0.00025358351790714196</x:v>
      </x:c>
      <x:c r="J81" s="14" t="n">
        <x:f>IF(C81=85,1,(E81*I81)/(1+(E81-IF(F81="",E81/2,F81))*I81))</x:f>
        <x:v>0.0012671142912867724</x:v>
      </x:c>
      <x:c r="K81" s="14" t="n">
        <x:f>IF(OR(ROW()=2,A81&lt;&gt;A80,B81&lt;&gt;B80),100000,K80-L80)</x:f>
        <x:v>99011.89948941939</x:v>
      </x:c>
      <x:c r="L81" s="14" t="n">
        <x:f>K81*J81</x:f>
        <x:v>125.45939285049279</x:v>
      </x:c>
      <x:c r="M81" s="14" t="n">
        <x:f>IF(C81=85,K81/I81,E81*K81-(E81-F81)*L81)</x:f>
        <x:v>494745.84896497073</x:v>
      </x:c>
      <x:c r="N81" s="14" t="n">
        <x:f>SUMIFS(M:M,A:A,A81,B:B,B81,C:C,"&gt;="&amp;C81)</x:f>
        <x:v>5718545.242139439</x:v>
      </x:c>
      <x:c r="O81" s="14" t="n">
        <x:f>N81/K81</x:f>
        <x:v>57.75614114695915</x:v>
      </x:c>
      <x:c r="P81" s="14" t="str">
        <x:f>IF(C81=0,85-O81,"")</x:f>
      </x:c>
    </x:row>
    <x:row r="82">
      <x:c r="A82" s="14" t="n">
        <x:v>2021</x:v>
      </x:c>
      <x:c r="B82" s="14" t="str">
        <x:v>Hombres</x:v>
      </x:c>
      <x:c r="C82" s="14" t="n">
        <x:v>15</x:v>
      </x:c>
      <x:c r="D82" s="14" t="str">
        <x:v>15-19</x:v>
      </x:c>
      <x:c r="E82" s="14" t="n">
        <x:v>5</x:v>
      </x:c>
      <x:c r="F82" s="14" t="n">
        <x:v>2.5</x:v>
      </x:c>
      <x:c r="G82" s="14" t="n">
        <x:v>224334</x:v>
      </x:c>
      <x:c r="H82" s="14" t="n">
        <x:v>129.29</x:v>
      </x:c>
      <x:c r="I82" s="14" t="n">
        <x:f>IFERROR(H82/G82,0)</x:f>
        <x:v>0.0005763281535567502</x:v>
      </x:c>
      <x:c r="J82" s="14" t="n">
        <x:f>IF(C82=85,1,(E82*I82)/(1+(E82-IF(F82="",E82/2,F82))*I82))</x:f>
        <x:v>0.002877494814600332</x:v>
      </x:c>
      <x:c r="K82" s="14" t="n">
        <x:f>IF(OR(ROW()=2,A82&lt;&gt;A81,B82&lt;&gt;B81),100000,K81-L81)</x:f>
        <x:v>98886.4400965689</x:v>
      </x:c>
      <x:c r="L82" s="14" t="n">
        <x:f>K82*J82</x:f>
        <x:v>284.54521861216335</x:v>
      </x:c>
      <x:c r="M82" s="14" t="n">
        <x:f>IF(C82=85,K82/I82,E82*K82-(E82-F82)*L82)</x:f>
        <x:v>493720.8374363141</x:v>
      </x:c>
      <x:c r="N82" s="14" t="n">
        <x:f>SUMIFS(M:M,A:A,A82,B:B,B82,C:C,"&gt;="&amp;C82)</x:f>
        <x:v>5223799.393174469</x:v>
      </x:c>
      <x:c r="O82" s="14" t="n">
        <x:f>N82/K82</x:f>
        <x:v>52.82624582372564</x:v>
      </x:c>
      <x:c r="P82" s="14" t="str">
        <x:f>IF(C82=0,85-O82,"")</x:f>
      </x:c>
    </x:row>
    <x:row r="83">
      <x:c r="A83" s="14" t="n">
        <x:v>2021</x:v>
      </x:c>
      <x:c r="B83" s="14" t="str">
        <x:v>Hombres</x:v>
      </x:c>
      <x:c r="C83" s="14" t="n">
        <x:v>20</x:v>
      </x:c>
      <x:c r="D83" s="14" t="str">
        <x:v>20-24</x:v>
      </x:c>
      <x:c r="E83" s="14" t="n">
        <x:v>5</x:v>
      </x:c>
      <x:c r="F83" s="14" t="n">
        <x:v>2.5</x:v>
      </x:c>
      <x:c r="G83" s="14" t="n">
        <x:v>224334</x:v>
      </x:c>
      <x:c r="H83" s="14" t="n">
        <x:v>219.34</x:v>
      </x:c>
      <x:c r="I83" s="14" t="n">
        <x:f>IFERROR(H83/G83,0)</x:f>
        <x:v>0.0009777385505540847</x:v>
      </x:c>
      <x:c r="J83" s="14" t="n">
        <x:f>IF(C83=85,1,(E83*I83)/(1+(E83-IF(F83="",E83/2,F83))*I83))</x:f>
        <x:v>0.004876772232236101</x:v>
      </x:c>
      <x:c r="K83" s="14" t="n">
        <x:f>IF(OR(ROW()=2,A83&lt;&gt;A82,B83&lt;&gt;B82),100000,K82-L82)</x:f>
        <x:v>98601.89487795673</x:v>
      </x:c>
      <x:c r="L83" s="14" t="n">
        <x:f>K83*J83</x:f>
        <x:v>480.8589829866824</x:v>
      </x:c>
      <x:c r="M83" s="14" t="n">
        <x:f>IF(C83=85,K83/I83,E83*K83-(E83-F83)*L83)</x:f>
        <x:v>491807.32693231694</x:v>
      </x:c>
      <x:c r="N83" s="14" t="n">
        <x:f>SUMIFS(M:M,A:A,A83,B:B,B83,C:C,"&gt;="&amp;C83)</x:f>
        <x:v>4730078.555738155</x:v>
      </x:c>
      <x:c r="O83" s="14" t="n">
        <x:f>N83/K83</x:f>
        <x:v>47.97147723776253</x:v>
      </x:c>
      <x:c r="P83" s="14" t="str">
        <x:f>IF(C83=0,85-O83,"")</x:f>
      </x:c>
    </x:row>
    <x:row r="84">
      <x:c r="A84" s="14" t="n">
        <x:v>2021</x:v>
      </x:c>
      <x:c r="B84" s="14" t="str">
        <x:v>Hombres</x:v>
      </x:c>
      <x:c r="C84" s="14" t="n">
        <x:v>25</x:v>
      </x:c>
      <x:c r="D84" s="14" t="str">
        <x:v>25-29</x:v>
      </x:c>
      <x:c r="E84" s="14" t="n">
        <x:v>5</x:v>
      </x:c>
      <x:c r="F84" s="14" t="n">
        <x:v>2.5</x:v>
      </x:c>
      <x:c r="G84" s="14" t="n">
        <x:v>209379</x:v>
      </x:c>
      <x:c r="H84" s="14" t="n">
        <x:v>281.21</x:v>
      </x:c>
      <x:c r="I84" s="14" t="n">
        <x:f>IFERROR(H84/G84,0)</x:f>
        <x:v>0.0013430668787223169</x:v>
      </x:c>
      <x:c r="J84" s="14" t="n">
        <x:f>IF(C84=85,1,(E84*I84)/(1+(E84-IF(F84="",E84/2,F84))*I84))</x:f>
        <x:v>0.00669286199045349</x:v>
      </x:c>
      <x:c r="K84" s="14" t="n">
        <x:f>IF(OR(ROW()=2,A84&lt;&gt;A83,B84&lt;&gt;B83),100000,K83-L83)</x:f>
        <x:v>98121.03589497005</x:v>
      </x:c>
      <x:c r="L84" s="14" t="n">
        <x:f>K84*J84</x:f>
        <x:v>656.7105516053675</x:v>
      </x:c>
      <x:c r="M84" s="14" t="n">
        <x:f>IF(C84=85,K84/I84,E84*K84-(E84-F84)*L84)</x:f>
        <x:v>488963.4030958368</x:v>
      </x:c>
      <x:c r="N84" s="14" t="n">
        <x:f>SUMIFS(M:M,A:A,A84,B:B,B84,C:C,"&gt;="&amp;C84)</x:f>
        <x:v>4238271.228805837</x:v>
      </x:c>
      <x:c r="O84" s="14" t="n">
        <x:f>N84/K84</x:f>
        <x:v>43.19431801904879</x:v>
      </x:c>
      <x:c r="P84" s="14" t="str">
        <x:f>IF(C84=0,85-O84,"")</x:f>
      </x:c>
    </x:row>
    <x:row r="85">
      <x:c r="A85" s="14" t="n">
        <x:v>2021</x:v>
      </x:c>
      <x:c r="B85" s="14" t="str">
        <x:v>Hombres</x:v>
      </x:c>
      <x:c r="C85" s="14" t="n">
        <x:v>30</x:v>
      </x:c>
      <x:c r="D85" s="14" t="str">
        <x:v>30-34</x:v>
      </x:c>
      <x:c r="E85" s="14" t="n">
        <x:v>5</x:v>
      </x:c>
      <x:c r="F85" s="14" t="n">
        <x:v>2.5</x:v>
      </x:c>
      <x:c r="G85" s="14" t="n">
        <x:v>209379</x:v>
      </x:c>
      <x:c r="H85" s="14" t="n">
        <x:v>368.8</x:v>
      </x:c>
      <x:c r="I85" s="14" t="n">
        <x:f>IFERROR(H85/G85,0)</x:f>
        <x:v>0.001761399185209596</x:v>
      </x:c>
      <x:c r="J85" s="14" t="n">
        <x:f>IF(C85=85,1,(E85*I85)/(1+(E85-IF(F85="",E85/2,F85))*I85))</x:f>
        <x:v>0.008768384363364889</x:v>
      </x:c>
      <x:c r="K85" s="14" t="n">
        <x:f>IF(OR(ROW()=2,A85&lt;&gt;A84,B85&lt;&gt;B84),100000,K84-L84)</x:f>
        <x:v>97464.32534336468</x:v>
      </x:c>
      <x:c r="L85" s="14" t="n">
        <x:f>K85*J85</x:f>
        <x:v>854.6046663266671</x:v>
      </x:c>
      <x:c r="M85" s="14" t="n">
        <x:f>IF(C85=85,K85/I85,E85*K85-(E85-F85)*L85)</x:f>
        <x:v>485185.1150510067</x:v>
      </x:c>
      <x:c r="N85" s="14" t="n">
        <x:f>SUMIFS(M:M,A:A,A85,B:B,B85,C:C,"&gt;="&amp;C85)</x:f>
        <x:v>3749307.8257099995</x:v>
      </x:c>
      <x:c r="O85" s="14" t="n">
        <x:f>N85/K85</x:f>
        <x:v>38.46851463344429</x:v>
      </x:c>
      <x:c r="P85" s="14" t="str">
        <x:f>IF(C85=0,85-O85,"")</x:f>
      </x:c>
    </x:row>
    <x:row r="86">
      <x:c r="A86" s="14" t="n">
        <x:v>2021</x:v>
      </x:c>
      <x:c r="B86" s="14" t="str">
        <x:v>Hombres</x:v>
      </x:c>
      <x:c r="C86" s="14" t="n">
        <x:v>35</x:v>
      </x:c>
      <x:c r="D86" s="14" t="str">
        <x:v>35-39</x:v>
      </x:c>
      <x:c r="E86" s="14" t="n">
        <x:v>5</x:v>
      </x:c>
      <x:c r="F86" s="14" t="n">
        <x:v>2.5</x:v>
      </x:c>
      <x:c r="G86" s="14" t="n">
        <x:v>194423</x:v>
      </x:c>
      <x:c r="H86" s="14" t="n">
        <x:v>478.14</x:v>
      </x:c>
      <x:c r="I86" s="14" t="n">
        <x:f>IFERROR(H86/G86,0)</x:f>
        <x:v>0.002459276937399382</x:v>
      </x:c>
      <x:c r="J86" s="14" t="n">
        <x:f>IF(C86=85,1,(E86*I86)/(1+(E86-IF(F86="",E86/2,F86))*I86))</x:f>
        <x:v>0.012221246115203406</x:v>
      </x:c>
      <x:c r="K86" s="14" t="n">
        <x:f>IF(OR(ROW()=2,A86&lt;&gt;A85,B86&lt;&gt;B85),100000,K85-L85)</x:f>
        <x:v>96609.72067703801</x:v>
      </x:c>
      <x:c r="L86" s="14" t="n">
        <x:f>K86*J86</x:f>
        <x:v>1180.691173515137</x:v>
      </x:c>
      <x:c r="M86" s="14" t="n">
        <x:f>IF(C86=85,K86/I86,E86*K86-(E86-F86)*L86)</x:f>
        <x:v>480096.8754514022</x:v>
      </x:c>
      <x:c r="N86" s="14" t="n">
        <x:f>SUMIFS(M:M,A:A,A86,B:B,B86,C:C,"&gt;="&amp;C86)</x:f>
        <x:v>3264122.7106589926</x:v>
      </x:c>
      <x:c r="O86" s="14" t="n">
        <x:f>N86/K86</x:f>
        <x:v>33.78669028110338</x:v>
      </x:c>
      <x:c r="P86" s="14" t="str">
        <x:f>IF(C86=0,85-O86,"")</x:f>
      </x:c>
    </x:row>
    <x:row r="87">
      <x:c r="A87" s="14" t="n">
        <x:v>2021</x:v>
      </x:c>
      <x:c r="B87" s="14" t="str">
        <x:v>Hombres</x:v>
      </x:c>
      <x:c r="C87" s="14" t="n">
        <x:v>40</x:v>
      </x:c>
      <x:c r="D87" s="14" t="str">
        <x:v>40-44</x:v>
      </x:c>
      <x:c r="E87" s="14" t="n">
        <x:v>5</x:v>
      </x:c>
      <x:c r="F87" s="14" t="n">
        <x:v>2.5</x:v>
      </x:c>
      <x:c r="G87" s="14" t="n">
        <x:v>179468</x:v>
      </x:c>
      <x:c r="H87" s="14" t="n">
        <x:v>670.94</x:v>
      </x:c>
      <x:c r="I87" s="14" t="n">
        <x:f>IFERROR(H87/G87,0)</x:f>
        <x:v>0.0037384937704771884</x:v>
      </x:c>
      <x:c r="J87" s="14" t="n">
        <x:f>IF(C87=85,1,(E87*I87)/(1+(E87-IF(F87="",E87/2,F87))*I87))</x:f>
        <x:v>0.018519382363389403</x:v>
      </x:c>
      <x:c r="K87" s="14" t="n">
        <x:f>IF(OR(ROW()=2,A87&lt;&gt;A86,B87&lt;&gt;B86),100000,K86-L86)</x:f>
        <x:v>95429.02950352288</x:v>
      </x:c>
      <x:c r="L87" s="14" t="n">
        <x:f>K87*J87</x:f>
        <x:v>1767.2866859429087</x:v>
      </x:c>
      <x:c r="M87" s="14" t="n">
        <x:f>IF(C87=85,K87/I87,E87*K87-(E87-F87)*L87)</x:f>
        <x:v>472726.93080275715</x:v>
      </x:c>
      <x:c r="N87" s="14" t="n">
        <x:f>SUMIFS(M:M,A:A,A87,B:B,B87,C:C,"&gt;="&amp;C87)</x:f>
        <x:v>2784025.83520759</x:v>
      </x:c>
      <x:c r="O87" s="14" t="n">
        <x:f>N87/K87</x:f>
        <x:v>29.173783383229463</x:v>
      </x:c>
      <x:c r="P87" s="14" t="str">
        <x:f>IF(C87=0,85-O87,"")</x:f>
      </x:c>
    </x:row>
    <x:row r="88">
      <x:c r="A88" s="14" t="n">
        <x:v>2021</x:v>
      </x:c>
      <x:c r="B88" s="14" t="str">
        <x:v>Hombres</x:v>
      </x:c>
      <x:c r="C88" s="14" t="n">
        <x:v>45</x:v>
      </x:c>
      <x:c r="D88" s="14" t="str">
        <x:v>45-49</x:v>
      </x:c>
      <x:c r="E88" s="14" t="n">
        <x:v>5</x:v>
      </x:c>
      <x:c r="F88" s="14" t="n">
        <x:v>2.5</x:v>
      </x:c>
      <x:c r="G88" s="14" t="n">
        <x:v>164512</x:v>
      </x:c>
      <x:c r="H88" s="14" t="n">
        <x:v>1063.03</x:v>
      </x:c>
      <x:c r="I88" s="14" t="n">
        <x:f>IFERROR(H88/G88,0)</x:f>
        <x:v>0.006461717078389418</x:v>
      </x:c>
      <x:c r="J88" s="14" t="n">
        <x:f>IF(C88=85,1,(E88*I88)/(1+(E88-IF(F88="",E88/2,F88))*I88))</x:f>
        <x:v>0.03179496029705166</x:v>
      </x:c>
      <x:c r="K88" s="14" t="n">
        <x:f>IF(OR(ROW()=2,A88&lt;&gt;A87,B88&lt;&gt;B87),100000,K87-L87)</x:f>
        <x:v>93661.74281757997</x:v>
      </x:c>
      <x:c r="L88" s="14" t="n">
        <x:f>K88*J88</x:f>
        <x:v>2977.9713942376184</x:v>
      </x:c>
      <x:c r="M88" s="14" t="n">
        <x:f>IF(C88=85,K88/I88,E88*K88-(E88-F88)*L88)</x:f>
        <x:v>460863.78560230584</x:v>
      </x:c>
      <x:c r="N88" s="14" t="n">
        <x:f>SUMIFS(M:M,A:A,A88,B:B,B88,C:C,"&gt;="&amp;C88)</x:f>
        <x:v>2311298.904404834</x:v>
      </x:c>
      <x:c r="O88" s="14" t="n">
        <x:f>N88/K88</x:f>
        <x:v>24.677086234733306</x:v>
      </x:c>
      <x:c r="P88" s="14" t="str">
        <x:f>IF(C88=0,85-O88,"")</x:f>
      </x:c>
    </x:row>
    <x:row r="89">
      <x:c r="A89" s="14" t="n">
        <x:v>2021</x:v>
      </x:c>
      <x:c r="B89" s="14" t="str">
        <x:v>Hombres</x:v>
      </x:c>
      <x:c r="C89" s="14" t="n">
        <x:v>50</x:v>
      </x:c>
      <x:c r="D89" s="14" t="str">
        <x:v>50-54</x:v>
      </x:c>
      <x:c r="E89" s="14" t="n">
        <x:v>5</x:v>
      </x:c>
      <x:c r="F89" s="14" t="n">
        <x:v>2.5</x:v>
      </x:c>
      <x:c r="G89" s="14" t="n">
        <x:v>149556</x:v>
      </x:c>
      <x:c r="H89" s="14" t="n">
        <x:v>1680.81</x:v>
      </x:c>
      <x:c r="I89" s="14" t="n">
        <x:f>IFERROR(H89/G89,0)</x:f>
        <x:v>0.011238666452699992</x:v>
      </x:c>
      <x:c r="J89" s="14" t="n">
        <x:f>IF(C89=85,1,(E89*I89)/(1+(E89-IF(F89="",E89/2,F89))*I89))</x:f>
        <x:v>0.05465763494295664</x:v>
      </x:c>
      <x:c r="K89" s="14" t="n">
        <x:f>IF(OR(ROW()=2,A89&lt;&gt;A88,B89&lt;&gt;B88),100000,K88-L88)</x:f>
        <x:v>90683.77142334235</x:v>
      </x:c>
      <x:c r="L89" s="14" t="n">
        <x:f>K89*J89</x:f>
        <x:v>4956.560473707569</x:v>
      </x:c>
      <x:c r="M89" s="14" t="n">
        <x:f>IF(C89=85,K89/I89,E89*K89-(E89-F89)*L89)</x:f>
        <x:v>441027.4559324428</x:v>
      </x:c>
      <x:c r="N89" s="14" t="n">
        <x:f>SUMIFS(M:M,A:A,A89,B:B,B89,C:C,"&gt;="&amp;C89)</x:f>
        <x:v>1850435.1188025281</x:v>
      </x:c>
      <x:c r="O89" s="14" t="n">
        <x:f>N89/K89</x:f>
        <x:v>20.405361287457648</x:v>
      </x:c>
      <x:c r="P89" s="14" t="str">
        <x:f>IF(C89=0,85-O89,"")</x:f>
      </x:c>
    </x:row>
    <x:row r="90">
      <x:c r="A90" s="14" t="n">
        <x:v>2021</x:v>
      </x:c>
      <x:c r="B90" s="14" t="str">
        <x:v>Hombres</x:v>
      </x:c>
      <x:c r="C90" s="14" t="n">
        <x:v>55</x:v>
      </x:c>
      <x:c r="D90" s="14" t="str">
        <x:v>55-59</x:v>
      </x:c>
      <x:c r="E90" s="14" t="n">
        <x:v>5</x:v>
      </x:c>
      <x:c r="F90" s="14" t="n">
        <x:v>2.5</x:v>
      </x:c>
      <x:c r="G90" s="14" t="n">
        <x:v>134601</x:v>
      </x:c>
      <x:c r="H90" s="14" t="n">
        <x:v>2630.66</x:v>
      </x:c>
      <x:c r="I90" s="14" t="n">
        <x:f>IFERROR(H90/G90,0)</x:f>
        <x:v>0.019544134144620025</x:v>
      </x:c>
      <x:c r="J90" s="14" t="n">
        <x:f>IF(C90=85,1,(E90*I90)/(1+(E90-IF(F90="",E90/2,F90))*I90))</x:f>
        <x:v>0.09316842998874114</x:v>
      </x:c>
      <x:c r="K90" s="14" t="n">
        <x:f>IF(OR(ROW()=2,A90&lt;&gt;A89,B90&lt;&gt;B89),100000,K89-L89)</x:f>
        <x:v>85727.21094963478</x:v>
      </x:c>
      <x:c r="L90" s="14" t="n">
        <x:f>K90*J90</x:f>
        <x:v>7987.0696514910915</x:v>
      </x:c>
      <x:c r="M90" s="14" t="n">
        <x:f>IF(C90=85,K90/I90,E90*K90-(E90-F90)*L90)</x:f>
        <x:v>408668.38061944616</x:v>
      </x:c>
      <x:c r="N90" s="14" t="n">
        <x:f>SUMIFS(M:M,A:A,A90,B:B,B90,C:C,"&gt;="&amp;C90)</x:f>
        <x:v>1409407.6628700853</x:v>
      </x:c>
      <x:c r="O90" s="14" t="n">
        <x:f>N90/K90</x:f>
        <x:v>16.440610247989056</x:v>
      </x:c>
      <x:c r="P90" s="14" t="str">
        <x:f>IF(C90=0,85-O90,"")</x:f>
      </x:c>
    </x:row>
    <x:row r="91">
      <x:c r="A91" s="14" t="n">
        <x:v>2021</x:v>
      </x:c>
      <x:c r="B91" s="14" t="str">
        <x:v>Hombres</x:v>
      </x:c>
      <x:c r="C91" s="14" t="n">
        <x:v>60</x:v>
      </x:c>
      <x:c r="D91" s="14" t="str">
        <x:v>60-64</x:v>
      </x:c>
      <x:c r="E91" s="14" t="n">
        <x:v>5</x:v>
      </x:c>
      <x:c r="F91" s="14" t="n">
        <x:v>2.5</x:v>
      </x:c>
      <x:c r="G91" s="14" t="n">
        <x:v>119645</x:v>
      </x:c>
      <x:c r="H91" s="14" t="n">
        <x:v>3974.67</x:v>
      </x:c>
      <x:c r="I91" s="14" t="n">
        <x:f>IFERROR(H91/G91,0)</x:f>
        <x:v>0.03322052739353922</x:v>
      </x:c>
      <x:c r="J91" s="14" t="n">
        <x:f>IF(C91=85,1,(E91*I91)/(1+(E91-IF(F91="",E91/2,F91))*I91))</x:f>
        <x:v>0.15336543535187366</x:v>
      </x:c>
      <x:c r="K91" s="14" t="n">
        <x:f>IF(OR(ROW()=2,A91&lt;&gt;A90,B91&lt;&gt;B90),100000,K90-L90)</x:f>
        <x:v>77740.14129814369</x:v>
      </x:c>
      <x:c r="L91" s="14" t="n">
        <x:f>K91*J91</x:f>
        <x:v>11922.65061450598</x:v>
      </x:c>
      <x:c r="M91" s="14" t="n">
        <x:f>IF(C91=85,K91/I91,E91*K91-(E91-F91)*L91)</x:f>
        <x:v>358894.07995445345</x:v>
      </x:c>
      <x:c r="N91" s="14" t="n">
        <x:f>SUMIFS(M:M,A:A,A91,B:B,B91,C:C,"&gt;="&amp;C91)</x:f>
        <x:v>1000739.282250639</x:v>
      </x:c>
      <x:c r="O91" s="14" t="n">
        <x:f>N91/K91</x:f>
        <x:v>12.872877068909252</x:v>
      </x:c>
      <x:c r="P91" s="14" t="str">
        <x:f>IF(C91=0,85-O91,"")</x:f>
      </x:c>
    </x:row>
    <x:row r="92">
      <x:c r="A92" s="14" t="n">
        <x:v>2021</x:v>
      </x:c>
      <x:c r="B92" s="14" t="str">
        <x:v>Hombres</x:v>
      </x:c>
      <x:c r="C92" s="14" t="n">
        <x:v>65</x:v>
      </x:c>
      <x:c r="D92" s="14" t="str">
        <x:v>65-69</x:v>
      </x:c>
      <x:c r="E92" s="14" t="n">
        <x:v>5</x:v>
      </x:c>
      <x:c r="F92" s="14" t="n">
        <x:v>2.5</x:v>
      </x:c>
      <x:c r="G92" s="14" t="n">
        <x:v>104689</x:v>
      </x:c>
      <x:c r="H92" s="14" t="n">
        <x:v>5814.97</x:v>
      </x:c>
      <x:c r="I92" s="14" t="n">
        <x:f>IFERROR(H92/G92,0)</x:f>
        <x:v>0.05554518621822732</x:v>
      </x:c>
      <x:c r="J92" s="14" t="n">
        <x:f>IF(C92=85,1,(E92*I92)/(1+(E92-IF(F92="",E92/2,F92))*I92))</x:f>
        <x:v>0.24386246589210403</x:v>
      </x:c>
      <x:c r="K92" s="14" t="n">
        <x:f>IF(OR(ROW()=2,A92&lt;&gt;A91,B92&lt;&gt;B91),100000,K91-L91)</x:f>
        <x:v>65817.4906836377</x:v>
      </x:c>
      <x:c r="L92" s="14" t="n">
        <x:f>K92*J92</x:f>
        <x:v>16050.415576942474</x:v>
      </x:c>
      <x:c r="M92" s="14" t="n">
        <x:f>IF(C92=85,K92/I92,E92*K92-(E92-F92)*L92)</x:f>
        <x:v>288961.4144758323</x:v>
      </x:c>
      <x:c r="N92" s="14" t="n">
        <x:f>SUMIFS(M:M,A:A,A92,B:B,B92,C:C,"&gt;="&amp;C92)</x:f>
        <x:v>641845.2022961855</x:v>
      </x:c>
      <x:c r="O92" s="14" t="n">
        <x:f>N92/K92</x:f>
        <x:v>9.751894148947688</x:v>
      </x:c>
      <x:c r="P92" s="14" t="str">
        <x:f>IF(C92=0,85-O92,"")</x:f>
      </x:c>
    </x:row>
    <x:row r="93">
      <x:c r="A93" s="14" t="n">
        <x:v>2021</x:v>
      </x:c>
      <x:c r="B93" s="14" t="str">
        <x:v>Hombres</x:v>
      </x:c>
      <x:c r="C93" s="14" t="n">
        <x:v>70</x:v>
      </x:c>
      <x:c r="D93" s="14" t="str">
        <x:v>70-74</x:v>
      </x:c>
      <x:c r="E93" s="14" t="n">
        <x:v>5</x:v>
      </x:c>
      <x:c r="F93" s="14" t="n">
        <x:v>2.5</x:v>
      </x:c>
      <x:c r="G93" s="14" t="n">
        <x:v>89734</x:v>
      </x:c>
      <x:c r="H93" s="14" t="n">
        <x:v>8396.31</x:v>
      </x:c>
      <x:c r="I93" s="14" t="n">
        <x:f>IFERROR(H93/G93,0)</x:f>
        <x:v>0.09356888136046537</x:v>
      </x:c>
      <x:c r="J93" s="14" t="n">
        <x:f>IF(C93=85,1,(E93*I93)/(1+(E93-IF(F93="",E93/2,F93))*I93))</x:f>
        <x:v>0.3791522719283015</x:v>
      </x:c>
      <x:c r="K93" s="14" t="n">
        <x:f>IF(OR(ROW()=2,A93&lt;&gt;A92,B93&lt;&gt;B92),100000,K92-L92)</x:f>
        <x:v>49767.07510669523</x:v>
      </x:c>
      <x:c r="L93" s="14" t="n">
        <x:f>K93*J93</x:f>
        <x:v>18869.299593929914</x:v>
      </x:c>
      <x:c r="M93" s="14" t="n">
        <x:f>IF(C93=85,K93/I93,E93*K93-(E93-F93)*L93)</x:f>
        <x:v>201662.12654865137</x:v>
      </x:c>
      <x:c r="N93" s="14" t="n">
        <x:f>SUMIFS(M:M,A:A,A93,B:B,B93,C:C,"&gt;="&amp;C93)</x:f>
        <x:v>352883.78782035335</x:v>
      </x:c>
      <x:c r="O93" s="14" t="n">
        <x:f>N93/K93</x:f>
        <x:v>7.090707803579146</x:v>
      </x:c>
      <x:c r="P93" s="14" t="str">
        <x:f>IF(C93=0,85-O93,"")</x:f>
      </x:c>
    </x:row>
    <x:row r="94">
      <x:c r="A94" s="14" t="n">
        <x:v>2021</x:v>
      </x:c>
      <x:c r="B94" s="14" t="str">
        <x:v>Hombres</x:v>
      </x:c>
      <x:c r="C94" s="14" t="n">
        <x:v>75</x:v>
      </x:c>
      <x:c r="D94" s="14" t="str">
        <x:v>75-79</x:v>
      </x:c>
      <x:c r="E94" s="14" t="n">
        <x:v>5</x:v>
      </x:c>
      <x:c r="F94" s="14" t="n">
        <x:v>2.5</x:v>
      </x:c>
      <x:c r="G94" s="14" t="n">
        <x:v>74778</x:v>
      </x:c>
      <x:c r="H94" s="14" t="n">
        <x:v>12476.98</x:v>
      </x:c>
      <x:c r="I94" s="14" t="n">
        <x:f>IFERROR(H94/G94,0)</x:f>
        <x:v>0.1668536200486774</x:v>
      </x:c>
      <x:c r="J94" s="14" t="n">
        <x:f>IF(C94=85,1,(E94*I94)/(1+(E94-IF(F94="",E94/2,F94))*I94))</x:f>
        <x:v>0.5887009067150323</x:v>
      </x:c>
      <x:c r="K94" s="14" t="n">
        <x:f>IF(OR(ROW()=2,A94&lt;&gt;A93,B94&lt;&gt;B93),100000,K93-L93)</x:f>
        <x:v>30897.775512765314</x:v>
      </x:c>
      <x:c r="L94" s="14" t="n">
        <x:f>K94*J94</x:f>
        <x:v>18189.548459842463</x:v>
      </x:c>
      <x:c r="M94" s="14" t="n">
        <x:f>IF(C94=85,K94/I94,E94*K94-(E94-F94)*L94)</x:f>
        <x:v>109015.0064142204</x:v>
      </x:c>
      <x:c r="N94" s="14" t="n">
        <x:f>SUMIFS(M:M,A:A,A94,B:B,B94,C:C,"&gt;="&amp;C94)</x:f>
        <x:v>151221.66127170192</x:v>
      </x:c>
      <x:c r="O94" s="14" t="n">
        <x:f>N94/K94</x:f>
        <x:v>4.894257232506113</x:v>
      </x:c>
      <x:c r="P94" s="14" t="str">
        <x:f>IF(C94=0,85-O94,"")</x:f>
      </x:c>
    </x:row>
    <x:row r="95">
      <x:c r="A95" s="14" t="n">
        <x:v>2021</x:v>
      </x:c>
      <x:c r="B95" s="14" t="str">
        <x:v>Hombres</x:v>
      </x:c>
      <x:c r="C95" s="14" t="n">
        <x:v>80</x:v>
      </x:c>
      <x:c r="D95" s="14" t="str">
        <x:v>80-84</x:v>
      </x:c>
      <x:c r="E95" s="14" t="n">
        <x:v>5</x:v>
      </x:c>
      <x:c r="F95" s="14" t="n">
        <x:v>2.5</x:v>
      </x:c>
      <x:c r="G95" s="14" t="n">
        <x:v>59823</x:v>
      </x:c>
      <x:c r="H95" s="14" t="n">
        <x:v>19089.82</x:v>
      </x:c>
      <x:c r="I95" s="14" t="n">
        <x:f>IFERROR(H95/G95,0)</x:f>
        <x:v>0.3191050264948264</x:v>
      </x:c>
      <x:c r="J95" s="14" t="n">
        <x:f>IF(C95=85,1,(E95*I95)/(1+(E95-IF(F95="",E95/2,F95))*I95))</x:f>
        <x:v>0.8875060380269006</x:v>
      </x:c>
      <x:c r="K95" s="14" t="n">
        <x:f>IF(OR(ROW()=2,A95&lt;&gt;A94,B95&lt;&gt;B94),100000,K94-L94)</x:f>
        <x:v>12708.227052922852</x:v>
      </x:c>
      <x:c r="L95" s="14" t="n">
        <x:f>K95*J95</x:f>
        <x:v>11278.628242085835</x:v>
      </x:c>
      <x:c r="M95" s="14" t="n">
        <x:f>IF(C95=85,K95/I95,E95*K95-(E95-F95)*L95)</x:f>
        <x:v>35344.56465939968</x:v>
      </x:c>
      <x:c r="N95" s="14" t="n">
        <x:f>SUMIFS(M:M,A:A,A95,B:B,B95,C:C,"&gt;="&amp;C95)</x:f>
        <x:v>42206.65485748152</x:v>
      </x:c>
      <x:c r="O95" s="14" t="n">
        <x:f>N95/K95</x:f>
        <x:v>3.3212071740388147</x:v>
      </x:c>
      <x:c r="P95" s="14" t="str">
        <x:f>IF(C95=0,85-O95,"")</x:f>
      </x:c>
    </x:row>
    <x:row r="96">
      <x:c r="A96" s="14" t="n">
        <x:v>2021</x:v>
      </x:c>
      <x:c r="B96" s="14" t="str">
        <x:v>Hombres</x:v>
      </x:c>
      <x:c r="C96" s="14" t="n">
        <x:v>85</x:v>
      </x:c>
      <x:c r="D96" s="14" t="str">
        <x:v>85+</x:v>
      </x:c>
      <x:c r="E96" s="14" t="n">
        <x:v>999</x:v>
      </x:c>
      <x:c r="F96" s="14" t="str"/>
      <x:c r="G96" s="14" t="n">
        <x:v>44867</x:v>
      </x:c>
      <x:c r="H96" s="14" t="n">
        <x:v>9347.27</x:v>
      </x:c>
      <x:c r="I96" s="14" t="n">
        <x:f>IFERROR(H96/G96,0)</x:f>
        <x:v>0.20833285042458824</x:v>
      </x:c>
      <x:c r="J96" s="14" t="n">
        <x:f>IF(C96=85,1,(E96*I96)/(1+(E96-IF(F96="",E96/2,F96))*I96))</x:f>
        <x:v>1</x:v>
      </x:c>
      <x:c r="K96" s="14" t="n">
        <x:f>IF(OR(ROW()=2,A96&lt;&gt;A95,B96&lt;&gt;B95),100000,K95-L95)</x:f>
        <x:v>1429.5988108370166</x:v>
      </x:c>
      <x:c r="L96" s="14" t="n">
        <x:f>K96*J96</x:f>
        <x:v>1429.5988108370166</x:v>
      </x:c>
      <x:c r="M96" s="14" t="n">
        <x:f>IF(C96=85,K96/I96,E96*K96-(E96-F96)*L96)</x:f>
        <x:v>6862.090198081838</x:v>
      </x:c>
      <x:c r="N96" s="14" t="n">
        <x:f>SUMIFS(M:M,A:A,A96,B:B,B96,C:C,"&gt;="&amp;C96)</x:f>
        <x:v>6862.090198081838</x:v>
      </x:c>
      <x:c r="O96" s="14" t="n">
        <x:f>N96/K96</x:f>
        <x:v>4.800011126243278</x:v>
      </x:c>
      <x:c r="P96" s="14" t="str">
        <x:f>IF(C96=0,85-O96,"")</x:f>
      </x:c>
    </x:row>
    <x:row r="97">
      <x:c r="A97" s="14" t="n">
        <x:v>2021</x:v>
      </x:c>
      <x:c r="B97" s="14" t="str">
        <x:v>Mujeres</x:v>
      </x:c>
      <x:c r="C97" s="14" t="n">
        <x:v>0</x:v>
      </x:c>
      <x:c r="D97" s="14" t="str">
        <x:v>0</x:v>
      </x:c>
      <x:c r="E97" s="14" t="n">
        <x:v>1</x:v>
      </x:c>
      <x:c r="F97" s="14" t="n">
        <x:v>0.1</x:v>
      </x:c>
      <x:c r="G97" s="14" t="n">
        <x:v>45047</x:v>
      </x:c>
      <x:c r="H97" s="14" t="n">
        <x:v>169.52</x:v>
      </x:c>
      <x:c r="I97" s="14" t="n">
        <x:f>IFERROR(H97/G97,0)</x:f>
        <x:v>0.003763180677958577</x:v>
      </x:c>
      <x:c r="J97" s="14" t="n">
        <x:f>IF(C97=85,1,(E97*I97)/(1+(E97-IF(F97="",E97/2,F97))*I97))</x:f>
        <x:v>0.0037504783231556552</x:v>
      </x:c>
      <x:c r="K97" s="14" t="n">
        <x:f>IF(OR(ROW()=2,A97&lt;&gt;A96,B97&lt;&gt;B96),100000,K96-L96)</x:f>
        <x:v>100000</x:v>
      </x:c>
      <x:c r="L97" s="14" t="n">
        <x:f>K97*J97</x:f>
        <x:v>375.04783231556553</x:v>
      </x:c>
      <x:c r="M97" s="14" t="n">
        <x:f>IF(C97=85,K97/I97,E97*K97-(E97-F97)*L97)</x:f>
        <x:v>99662.45695091599</x:v>
      </x:c>
      <x:c r="N97" s="14" t="n">
        <x:f>SUMIFS(M:M,A:A,A97,B:B,B97,C:C,"&gt;="&amp;C97)</x:f>
        <x:v>7559998.563287347</x:v>
      </x:c>
      <x:c r="O97" s="14" t="n">
        <x:f>N97/K97</x:f>
        <x:v>75.59998563287347</x:v>
      </x:c>
      <x:c r="P97" s="14" t="n">
        <x:f>IF(C97=0,85-O97,"")</x:f>
        <x:v>9.40001436712653</x:v>
      </x:c>
    </x:row>
    <x:row r="98">
      <x:c r="A98" s="14" t="n">
        <x:v>2021</x:v>
      </x:c>
      <x:c r="B98" s="14" t="str">
        <x:v>Mujeres</x:v>
      </x:c>
      <x:c r="C98" s="14" t="n">
        <x:v>1</x:v>
      </x:c>
      <x:c r="D98" s="14" t="str">
        <x:v>1-4</x:v>
      </x:c>
      <x:c r="E98" s="14" t="n">
        <x:v>4</x:v>
      </x:c>
      <x:c r="F98" s="14" t="n">
        <x:v>2</x:v>
      </x:c>
      <x:c r="G98" s="14" t="n">
        <x:v>180187</x:v>
      </x:c>
      <x:c r="H98" s="14" t="n">
        <x:v>40.05</x:v>
      </x:c>
      <x:c r="I98" s="14" t="n">
        <x:f>IFERROR(H98/G98,0)</x:f>
        <x:v>0.00022226908711505268</x:v>
      </x:c>
      <x:c r="J98" s="14" t="n">
        <x:f>IF(C98=85,1,(E98*I98)/(1+(E98-IF(F98="",E98/2,F98))*I98))</x:f>
        <x:v>0.000888681295699548</x:v>
      </x:c>
      <x:c r="K98" s="14" t="n">
        <x:f>IF(OR(ROW()=2,A98&lt;&gt;A97,B98&lt;&gt;B97),100000,K97-L97)</x:f>
        <x:v>99624.95216768443</x:v>
      </x:c>
      <x:c r="L98" s="14" t="n">
        <x:f>K98*J98</x:f>
        <x:v>88.53483157638328</x:v>
      </x:c>
      <x:c r="M98" s="14" t="n">
        <x:f>IF(C98=85,K98/I98,E98*K98-(E98-F98)*L98)</x:f>
        <x:v>398322.739007585</x:v>
      </x:c>
      <x:c r="N98" s="14" t="n">
        <x:f>SUMIFS(M:M,A:A,A98,B:B,B98,C:C,"&gt;="&amp;C98)</x:f>
        <x:v>7460336.106336431</x:v>
      </x:c>
      <x:c r="O98" s="14" t="n">
        <x:f>N98/K98</x:f>
        <x:v>74.88421267976635</x:v>
      </x:c>
      <x:c r="P98" s="14" t="str">
        <x:f>IF(C98=0,85-O98,"")</x:f>
      </x:c>
    </x:row>
    <x:row r="99">
      <x:c r="A99" s="14" t="n">
        <x:v>2021</x:v>
      </x:c>
      <x:c r="B99" s="14" t="str">
        <x:v>Mujeres</x:v>
      </x:c>
      <x:c r="C99" s="14" t="n">
        <x:v>5</x:v>
      </x:c>
      <x:c r="D99" s="14" t="str">
        <x:v>5-9</x:v>
      </x:c>
      <x:c r="E99" s="14" t="n">
        <x:v>5</x:v>
      </x:c>
      <x:c r="F99" s="14" t="n">
        <x:v>2.5</x:v>
      </x:c>
      <x:c r="G99" s="14" t="n">
        <x:v>240249</x:v>
      </x:c>
      <x:c r="H99" s="14" t="n">
        <x:v>21.4</x:v>
      </x:c>
      <x:c r="I99" s="14" t="n">
        <x:f>IFERROR(H99/G99,0)</x:f>
        <x:v>0.0000890742521300817</x:v>
      </x:c>
      <x:c r="J99" s="14" t="n">
        <x:f>IF(C99=85,1,(E99*I99)/(1+(E99-IF(F99="",E99/2,F99))*I99))</x:f>
        <x:v>0.0004452721049510513</x:v>
      </x:c>
      <x:c r="K99" s="14" t="n">
        <x:f>IF(OR(ROW()=2,A99&lt;&gt;A98,B99&lt;&gt;B98),100000,K98-L98)</x:f>
        <x:v>99536.41733610805</x:v>
      </x:c>
      <x:c r="L99" s="14" t="n">
        <x:f>K99*J99</x:f>
        <x:v>44.320790066535146</x:v>
      </x:c>
      <x:c r="M99" s="14" t="n">
        <x:f>IF(C99=85,K99/I99,E99*K99-(E99-F99)*L99)</x:f>
        <x:v>497571.28470537387</x:v>
      </x:c>
      <x:c r="N99" s="14" t="n">
        <x:f>SUMIFS(M:M,A:A,A99,B:B,B99,C:C,"&gt;="&amp;C99)</x:f>
        <x:v>7062013.367328846</x:v>
      </x:c>
      <x:c r="O99" s="14" t="n">
        <x:f>N99/K99</x:f>
        <x:v>70.94904112815617</x:v>
      </x:c>
      <x:c r="P99" s="14" t="str">
        <x:f>IF(C99=0,85-O99,"")</x:f>
      </x:c>
    </x:row>
    <x:row r="100">
      <x:c r="A100" s="14" t="n">
        <x:v>2021</x:v>
      </x:c>
      <x:c r="B100" s="14" t="str">
        <x:v>Mujeres</x:v>
      </x:c>
      <x:c r="C100" s="14" t="n">
        <x:v>10</x:v>
      </x:c>
      <x:c r="D100" s="14" t="str">
        <x:v>10-14</x:v>
      </x:c>
      <x:c r="E100" s="14" t="n">
        <x:v>5</x:v>
      </x:c>
      <x:c r="F100" s="14" t="n">
        <x:v>2.5</x:v>
      </x:c>
      <x:c r="G100" s="14" t="n">
        <x:v>240249</x:v>
      </x:c>
      <x:c r="H100" s="14" t="n">
        <x:v>26.3</x:v>
      </x:c>
      <x:c r="I100" s="14" t="n">
        <x:f>IFERROR(H100/G100,0)</x:f>
        <x:v>0.0001094697584589322</x:v>
      </x:c>
      <x:c r="J100" s="14" t="n">
        <x:f>IF(C100=85,1,(E100*I100)/(1+(E100-IF(F100="",E100/2,F100))*I100))</x:f>
        <x:v>0.0005471990379283836</x:v>
      </x:c>
      <x:c r="K100" s="14" t="n">
        <x:f>IF(OR(ROW()=2,A100&lt;&gt;A99,B100&lt;&gt;B99),100000,K99-L99)</x:f>
        <x:v>99492.09654604152</x:v>
      </x:c>
      <x:c r="L100" s="14" t="n">
        <x:f>K100*J100</x:f>
        <x:v>54.44197951147177</x:v>
      </x:c>
      <x:c r="M100" s="14" t="n">
        <x:f>IF(C100=85,K100/I100,E100*K100-(E100-F100)*L100)</x:f>
        <x:v>497324.3777814289</x:v>
      </x:c>
      <x:c r="N100" s="14" t="n">
        <x:f>SUMIFS(M:M,A:A,A100,B:B,B100,C:C,"&gt;="&amp;C100)</x:f>
        <x:v>6564442.082623472</x:v>
      </x:c>
      <x:c r="O100" s="14" t="n">
        <x:f>N100/K100</x:f>
        <x:v>65.97953315402972</x:v>
      </x:c>
      <x:c r="P100" s="14" t="str">
        <x:f>IF(C100=0,85-O100,"")</x:f>
      </x:c>
    </x:row>
    <x:row r="101">
      <x:c r="A101" s="14" t="n">
        <x:v>2021</x:v>
      </x:c>
      <x:c r="B101" s="14" t="str">
        <x:v>Mujeres</x:v>
      </x:c>
      <x:c r="C101" s="14" t="n">
        <x:v>15</x:v>
      </x:c>
      <x:c r="D101" s="14" t="str">
        <x:v>15-19</x:v>
      </x:c>
      <x:c r="E101" s="14" t="n">
        <x:v>5</x:v>
      </x:c>
      <x:c r="F101" s="14" t="n">
        <x:v>2.5</x:v>
      </x:c>
      <x:c r="G101" s="14" t="n">
        <x:v>225234</x:v>
      </x:c>
      <x:c r="H101" s="14" t="n">
        <x:v>40.73</x:v>
      </x:c>
      <x:c r="I101" s="14" t="n">
        <x:f>IFERROR(H101/G101,0)</x:f>
        <x:v>0.00018083415470133282</x:v>
      </x:c>
      <x:c r="J101" s="14" t="n">
        <x:f>IF(C101=85,1,(E101*I101)/(1+(E101-IF(F101="",E101/2,F101))*I101))</x:f>
        <x:v>0.0009037621958248316</x:v>
      </x:c>
      <x:c r="K101" s="14" t="n">
        <x:f>IF(OR(ROW()=2,A101&lt;&gt;A100,B101&lt;&gt;B100),100000,K100-L100)</x:f>
        <x:v>99437.65456653005</x:v>
      </x:c>
      <x:c r="L101" s="14" t="n">
        <x:f>K101*J101</x:f>
        <x:v>89.8679930387183</x:v>
      </x:c>
      <x:c r="M101" s="14" t="n">
        <x:f>IF(C101=85,K101/I101,E101*K101-(E101-F101)*L101)</x:f>
        <x:v>496963.6028500534</x:v>
      </x:c>
      <x:c r="N101" s="14" t="n">
        <x:f>SUMIFS(M:M,A:A,A101,B:B,B101,C:C,"&gt;="&amp;C101)</x:f>
        <x:v>6067117.704842043</x:v>
      </x:c>
      <x:c r="O101" s="14" t="n">
        <x:f>N101/K101</x:f>
        <x:v>61.01428811137897</x:v>
      </x:c>
      <x:c r="P101" s="14" t="str">
        <x:f>IF(C101=0,85-O101,"")</x:f>
      </x:c>
    </x:row>
    <x:row r="102">
      <x:c r="A102" s="14" t="n">
        <x:v>2021</x:v>
      </x:c>
      <x:c r="B102" s="14" t="str">
        <x:v>Mujeres</x:v>
      </x:c>
      <x:c r="C102" s="14" t="n">
        <x:v>20</x:v>
      </x:c>
      <x:c r="D102" s="14" t="str">
        <x:v>20-24</x:v>
      </x:c>
      <x:c r="E102" s="14" t="n">
        <x:v>5</x:v>
      </x:c>
      <x:c r="F102" s="14" t="n">
        <x:v>2.5</x:v>
      </x:c>
      <x:c r="G102" s="14" t="n">
        <x:v>225234</x:v>
      </x:c>
      <x:c r="H102" s="14" t="n">
        <x:v>55.23</x:v>
      </x:c>
      <x:c r="I102" s="14" t="n">
        <x:f>IFERROR(H102/G102,0)</x:f>
        <x:v>0.00024521164655425025</x:v>
      </x:c>
      <x:c r="J102" s="14" t="n">
        <x:f>IF(C102=85,1,(E102*I102)/(1+(E102-IF(F102="",E102/2,F102))*I102))</x:f>
        <x:v>0.001225307083852336</x:v>
      </x:c>
      <x:c r="K102" s="14" t="n">
        <x:f>IF(OR(ROW()=2,A102&lt;&gt;A101,B102&lt;&gt;B101),100000,K101-L101)</x:f>
        <x:v>99347.78657349134</x:v>
      </x:c>
      <x:c r="L102" s="14" t="n">
        <x:f>K102*J102</x:f>
        <x:v>121.73154665354893</x:v>
      </x:c>
      <x:c r="M102" s="14" t="n">
        <x:f>IF(C102=85,K102/I102,E102*K102-(E102-F102)*L102)</x:f>
        <x:v>496434.6040008228</x:v>
      </x:c>
      <x:c r="N102" s="14" t="n">
        <x:f>SUMIFS(M:M,A:A,A102,B:B,B102,C:C,"&gt;="&amp;C102)</x:f>
        <x:v>5570154.10199199</x:v>
      </x:c>
      <x:c r="O102" s="14" t="n">
        <x:f>N102/K102</x:f>
        <x:v>56.067218949780376</x:v>
      </x:c>
      <x:c r="P102" s="14" t="str">
        <x:f>IF(C102=0,85-O102,"")</x:f>
      </x:c>
    </x:row>
    <x:row r="103">
      <x:c r="A103" s="14" t="n">
        <x:v>2021</x:v>
      </x:c>
      <x:c r="B103" s="14" t="str">
        <x:v>Mujeres</x:v>
      </x:c>
      <x:c r="C103" s="14" t="n">
        <x:v>25</x:v>
      </x:c>
      <x:c r="D103" s="14" t="str">
        <x:v>25-29</x:v>
      </x:c>
      <x:c r="E103" s="14" t="n">
        <x:v>5</x:v>
      </x:c>
      <x:c r="F103" s="14" t="n">
        <x:v>2.5</x:v>
      </x:c>
      <x:c r="G103" s="14" t="n">
        <x:v>210218</x:v>
      </x:c>
      <x:c r="H103" s="14" t="n">
        <x:v>70.76</x:v>
      </x:c>
      <x:c r="I103" s="14" t="n">
        <x:f>IFERROR(H103/G103,0)</x:f>
        <x:v>0.000336602955027638</x:v>
      </x:c>
      <x:c r="J103" s="14" t="n">
        <x:f>IF(C103=85,1,(E103*I103)/(1+(E103-IF(F103="",E103/2,F103))*I103))</x:f>
        <x:v>0.0016815996965705918</x:v>
      </x:c>
      <x:c r="K103" s="14" t="n">
        <x:f>IF(OR(ROW()=2,A103&lt;&gt;A102,B103&lt;&gt;B102),100000,K102-L102)</x:f>
        <x:v>99226.05502683778</x:v>
      </x:c>
      <x:c r="L103" s="14" t="n">
        <x:f>K103*J103</x:f>
        <x:v>166.85850402502726</x:v>
      </x:c>
      <x:c r="M103" s="14" t="n">
        <x:f>IF(C103=85,K103/I103,E103*K103-(E103-F103)*L103)</x:f>
        <x:v>495713.12887412636</x:v>
      </x:c>
      <x:c r="N103" s="14" t="n">
        <x:f>SUMIFS(M:M,A:A,A103,B:B,B103,C:C,"&gt;="&amp;C103)</x:f>
        <x:v>5073719.497991167</x:v>
      </x:c>
      <x:c r="O103" s="14" t="n">
        <x:f>N103/K103</x:f>
        <x:v>51.13293576590213</x:v>
      </x:c>
      <x:c r="P103" s="14" t="str">
        <x:f>IF(C103=0,85-O103,"")</x:f>
      </x:c>
    </x:row>
    <x:row r="104">
      <x:c r="A104" s="14" t="n">
        <x:v>2021</x:v>
      </x:c>
      <x:c r="B104" s="14" t="str">
        <x:v>Mujeres</x:v>
      </x:c>
      <x:c r="C104" s="14" t="n">
        <x:v>30</x:v>
      </x:c>
      <x:c r="D104" s="14" t="str">
        <x:v>30-34</x:v>
      </x:c>
      <x:c r="E104" s="14" t="n">
        <x:v>5</x:v>
      </x:c>
      <x:c r="F104" s="14" t="n">
        <x:v>2.5</x:v>
      </x:c>
      <x:c r="G104" s="14" t="n">
        <x:v>210218</x:v>
      </x:c>
      <x:c r="H104" s="14" t="n">
        <x:v>102.01</x:v>
      </x:c>
      <x:c r="I104" s="14" t="n">
        <x:f>IFERROR(H104/G104,0)</x:f>
        <x:v>0.0004852581605761638</x:v>
      </x:c>
      <x:c r="J104" s="14" t="n">
        <x:f>IF(C104=85,1,(E104*I104)/(1+(E104-IF(F104="",E104/2,F104))*I104))</x:f>
        <x:v>0.0024233509258490492</x:v>
      </x:c>
      <x:c r="K104" s="14" t="n">
        <x:f>IF(OR(ROW()=2,A104&lt;&gt;A103,B104&lt;&gt;B103),100000,K103-L103)</x:f>
        <x:v>99059.19652281275</x:v>
      </x:c>
      <x:c r="L104" s="14" t="n">
        <x:f>K104*J104</x:f>
        <x:v>240.0551956074212</x:v>
      </x:c>
      <x:c r="M104" s="14" t="n">
        <x:f>IF(C104=85,K104/I104,E104*K104-(E104-F104)*L104)</x:f>
        <x:v>494695.8446250452</x:v>
      </x:c>
      <x:c r="N104" s="14" t="n">
        <x:f>SUMIFS(M:M,A:A,A104,B:B,B104,C:C,"&gt;="&amp;C104)</x:f>
        <x:v>4578006.36911704</x:v>
      </x:c>
      <x:c r="O104" s="14" t="n">
        <x:f>N104/K104</x:f>
        <x:v>46.214854650701234</x:v>
      </x:c>
      <x:c r="P104" s="14" t="str">
        <x:f>IF(C104=0,85-O104,"")</x:f>
      </x:c>
    </x:row>
    <x:row r="105">
      <x:c r="A105" s="14" t="n">
        <x:v>2021</x:v>
      </x:c>
      <x:c r="B105" s="14" t="str">
        <x:v>Mujeres</x:v>
      </x:c>
      <x:c r="C105" s="14" t="n">
        <x:v>35</x:v>
      </x:c>
      <x:c r="D105" s="14" t="str">
        <x:v>35-39</x:v>
      </x:c>
      <x:c r="E105" s="14" t="n">
        <x:v>5</x:v>
      </x:c>
      <x:c r="F105" s="14" t="n">
        <x:v>2.5</x:v>
      </x:c>
      <x:c r="G105" s="14" t="n">
        <x:v>195202</x:v>
      </x:c>
      <x:c r="H105" s="14" t="n">
        <x:v>147.82</x:v>
      </x:c>
      <x:c r="I105" s="14" t="n">
        <x:f>IFERROR(H105/G105,0)</x:f>
        <x:v>0.0007572668312824663</x:v>
      </x:c>
      <x:c r="J105" s="14" t="n">
        <x:f>IF(C105=85,1,(E105*I105)/(1+(E105-IF(F105="",E105/2,F105))*I105))</x:f>
        <x:v>0.0037791795381281173</x:v>
      </x:c>
      <x:c r="K105" s="14" t="n">
        <x:f>IF(OR(ROW()=2,A105&lt;&gt;A104,B105&lt;&gt;B104),100000,K104-L104)</x:f>
        <x:v>98819.14132720533</x:v>
      </x:c>
      <x:c r="L105" s="14" t="n">
        <x:f>K105*J105</x:f>
        <x:v>373.455276879165</x:v>
      </x:c>
      <x:c r="M105" s="14" t="n">
        <x:f>IF(C105=85,K105/I105,E105*K105-(E105-F105)*L105)</x:f>
        <x:v>493162.0684438288</x:v>
      </x:c>
      <x:c r="N105" s="14" t="n">
        <x:f>SUMIFS(M:M,A:A,A105,B:B,B105,C:C,"&gt;="&amp;C105)</x:f>
        <x:v>4083310.524491994</x:v>
      </x:c>
      <x:c r="O105" s="14" t="n">
        <x:f>N105/K105</x:f>
        <x:v>41.321048428983275</x:v>
      </x:c>
      <x:c r="P105" s="14" t="str">
        <x:f>IF(C105=0,85-O105,"")</x:f>
      </x:c>
    </x:row>
    <x:row r="106">
      <x:c r="A106" s="14" t="n">
        <x:v>2021</x:v>
      </x:c>
      <x:c r="B106" s="14" t="str">
        <x:v>Mujeres</x:v>
      </x:c>
      <x:c r="C106" s="14" t="n">
        <x:v>40</x:v>
      </x:c>
      <x:c r="D106" s="14" t="str">
        <x:v>40-44</x:v>
      </x:c>
      <x:c r="E106" s="14" t="n">
        <x:v>5</x:v>
      </x:c>
      <x:c r="F106" s="14" t="n">
        <x:v>2.5</x:v>
      </x:c>
      <x:c r="G106" s="14" t="n">
        <x:v>180187</x:v>
      </x:c>
      <x:c r="H106" s="14" t="n">
        <x:v>233.64</x:v>
      </x:c>
      <x:c r="I106" s="14" t="n">
        <x:f>IFERROR(H106/G106,0)</x:f>
        <x:v>0.001296652921686914</x:v>
      </x:c>
      <x:c r="J106" s="14" t="n">
        <x:f>IF(C106=85,1,(E106*I106)/(1+(E106-IF(F106="",E106/2,F106))*I106))</x:f>
        <x:v>0.006462316155624433</x:v>
      </x:c>
      <x:c r="K106" s="14" t="n">
        <x:f>IF(OR(ROW()=2,A106&lt;&gt;A105,B106&lt;&gt;B105),100000,K105-L105)</x:f>
        <x:v>98445.68605032617</x:v>
      </x:c>
      <x:c r="L106" s="14" t="n">
        <x:f>K106*J106</x:f>
        <x:v>636.1871474145537</x:v>
      </x:c>
      <x:c r="M106" s="14" t="n">
        <x:f>IF(C106=85,K106/I106,E106*K106-(E106-F106)*L106)</x:f>
        <x:v>490637.9623830945</x:v>
      </x:c>
      <x:c r="N106" s="14" t="n">
        <x:f>SUMIFS(M:M,A:A,A106,B:B,B106,C:C,"&gt;="&amp;C106)</x:f>
        <x:v>3590148.4560481654</x:v>
      </x:c>
      <x:c r="O106" s="14" t="n">
        <x:f>N106/K106</x:f>
        <x:v>36.4683166940688</x:v>
      </x:c>
      <x:c r="P106" s="14" t="str">
        <x:f>IF(C106=0,85-O106,"")</x:f>
      </x:c>
    </x:row>
    <x:row r="107">
      <x:c r="A107" s="14" t="n">
        <x:v>2021</x:v>
      </x:c>
      <x:c r="B107" s="14" t="str">
        <x:v>Mujeres</x:v>
      </x:c>
      <x:c r="C107" s="14" t="n">
        <x:v>45</x:v>
      </x:c>
      <x:c r="D107" s="14" t="str">
        <x:v>45-49</x:v>
      </x:c>
      <x:c r="E107" s="14" t="n">
        <x:v>5</x:v>
      </x:c>
      <x:c r="F107" s="14" t="n">
        <x:v>2.5</x:v>
      </x:c>
      <x:c r="G107" s="14" t="n">
        <x:v>165171</x:v>
      </x:c>
      <x:c r="H107" s="14" t="n">
        <x:v>402.99</x:v>
      </x:c>
      <x:c r="I107" s="14" t="n">
        <x:f>IFERROR(H107/G107,0)</x:f>
        <x:v>0.0024398350800079916</x:v>
      </x:c>
      <x:c r="J107" s="14" t="n">
        <x:f>IF(C107=85,1,(E107*I107)/(1+(E107-IF(F107="",E107/2,F107))*I107))</x:f>
        <x:v>0.012125216578139857</x:v>
      </x:c>
      <x:c r="K107" s="14" t="n">
        <x:f>IF(OR(ROW()=2,A107&lt;&gt;A106,B107&lt;&gt;B106),100000,K106-L106)</x:f>
        <x:v>97809.49890291161</x:v>
      </x:c>
      <x:c r="L107" s="14" t="n">
        <x:f>K107*J107</x:f>
        <x:v>1185.961357597136</x:v>
      </x:c>
      <x:c r="M107" s="14" t="n">
        <x:f>IF(C107=85,K107/I107,E107*K107-(E107-F107)*L107)</x:f>
        <x:v>486082.5911205652</x:v>
      </x:c>
      <x:c r="N107" s="14" t="n">
        <x:f>SUMIFS(M:M,A:A,A107,B:B,B107,C:C,"&gt;="&amp;C107)</x:f>
        <x:v>3099510.493665071</x:v>
      </x:c>
      <x:c r="O107" s="14" t="n">
        <x:f>N107/K107</x:f>
        <x:v>31.689258491567678</x:v>
      </x:c>
      <x:c r="P107" s="14" t="str">
        <x:f>IF(C107=0,85-O107,"")</x:f>
      </x:c>
    </x:row>
    <x:row r="108">
      <x:c r="A108" s="14" t="n">
        <x:v>2021</x:v>
      </x:c>
      <x:c r="B108" s="14" t="str">
        <x:v>Mujeres</x:v>
      </x:c>
      <x:c r="C108" s="14" t="n">
        <x:v>50</x:v>
      </x:c>
      <x:c r="D108" s="14" t="str">
        <x:v>50-54</x:v>
      </x:c>
      <x:c r="E108" s="14" t="n">
        <x:v>5</x:v>
      </x:c>
      <x:c r="F108" s="14" t="n">
        <x:v>2.5</x:v>
      </x:c>
      <x:c r="G108" s="14" t="n">
        <x:v>150156</x:v>
      </x:c>
      <x:c r="H108" s="14" t="n">
        <x:v>663.33</x:v>
      </x:c>
      <x:c r="I108" s="14" t="n">
        <x:f>IFERROR(H108/G108,0)</x:f>
        <x:v>0.004417605690082315</x:v>
      </x:c>
      <x:c r="J108" s="14" t="n">
        <x:f>IF(C108=85,1,(E108*I108)/(1+(E108-IF(F108="",E108/2,F108))*I108))</x:f>
        <x:v>0.021846752603879777</x:v>
      </x:c>
      <x:c r="K108" s="14" t="n">
        <x:f>IF(OR(ROW()=2,A108&lt;&gt;A107,B108&lt;&gt;B107),100000,K107-L107)</x:f>
        <x:v>96623.53754531448</x:v>
      </x:c>
      <x:c r="L108" s="14" t="n">
        <x:f>K108*J108</x:f>
        <x:v>2110.9105204641746</x:v>
      </x:c>
      <x:c r="M108" s="14" t="n">
        <x:f>IF(C108=85,K108/I108,E108*K108-(E108-F108)*L108)</x:f>
        <x:v>477840.41142541193</x:v>
      </x:c>
      <x:c r="N108" s="14" t="n">
        <x:f>SUMIFS(M:M,A:A,A108,B:B,B108,C:C,"&gt;="&amp;C108)</x:f>
        <x:v>2613427.9025445064</x:v>
      </x:c>
      <x:c r="O108" s="14" t="n">
        <x:f>N108/K108</x:f>
        <x:v>27.047528676114364</x:v>
      </x:c>
      <x:c r="P108" s="14" t="str">
        <x:f>IF(C108=0,85-O108,"")</x:f>
      </x:c>
    </x:row>
    <x:row r="109">
      <x:c r="A109" s="14" t="n">
        <x:v>2021</x:v>
      </x:c>
      <x:c r="B109" s="14" t="str">
        <x:v>Mujeres</x:v>
      </x:c>
      <x:c r="C109" s="14" t="n">
        <x:v>55</x:v>
      </x:c>
      <x:c r="D109" s="14" t="str">
        <x:v>55-59</x:v>
      </x:c>
      <x:c r="E109" s="14" t="n">
        <x:v>5</x:v>
      </x:c>
      <x:c r="F109" s="14" t="n">
        <x:v>2.5</x:v>
      </x:c>
      <x:c r="G109" s="14" t="n">
        <x:v>135140</x:v>
      </x:c>
      <x:c r="H109" s="14" t="n">
        <x:v>1106.79</x:v>
      </x:c>
      <x:c r="I109" s="14" t="n">
        <x:f>IFERROR(H109/G109,0)</x:f>
        <x:v>0.008189951161758177</x:v>
      </x:c>
      <x:c r="J109" s="14" t="n">
        <x:f>IF(C109=85,1,(E109*I109)/(1+(E109-IF(F109="",E109/2,F109))*I109))</x:f>
        <x:v>0.04012813710111472</x:v>
      </x:c>
      <x:c r="K109" s="14" t="n">
        <x:f>IF(OR(ROW()=2,A109&lt;&gt;A108,B109&lt;&gt;B108),100000,K108-L108)</x:f>
        <x:v>94512.62702485031</x:v>
      </x:c>
      <x:c r="L109" s="14" t="n">
        <x:f>K109*J109</x:f>
        <x:v>3792.6156550397136</x:v>
      </x:c>
      <x:c r="M109" s="14" t="n">
        <x:f>IF(C109=85,K109/I109,E109*K109-(E109-F109)*L109)</x:f>
        <x:v>463081.5959866523</x:v>
      </x:c>
      <x:c r="N109" s="14" t="n">
        <x:f>SUMIFS(M:M,A:A,A109,B:B,B109,C:C,"&gt;="&amp;C109)</x:f>
        <x:v>2135587.4911190947</x:v>
      </x:c>
      <x:c r="O109" s="14" t="n">
        <x:f>N109/K109</x:f>
        <x:v>22.59579019592358</x:v>
      </x:c>
      <x:c r="P109" s="14" t="str">
        <x:f>IF(C109=0,85-O109,"")</x:f>
      </x:c>
    </x:row>
    <x:row r="110">
      <x:c r="A110" s="14" t="n">
        <x:v>2021</x:v>
      </x:c>
      <x:c r="B110" s="14" t="str">
        <x:v>Mujeres</x:v>
      </x:c>
      <x:c r="C110" s="14" t="n">
        <x:v>60</x:v>
      </x:c>
      <x:c r="D110" s="14" t="str">
        <x:v>60-64</x:v>
      </x:c>
      <x:c r="E110" s="14" t="n">
        <x:v>5</x:v>
      </x:c>
      <x:c r="F110" s="14" t="n">
        <x:v>2.5</x:v>
      </x:c>
      <x:c r="G110" s="14" t="n">
        <x:v>120125</x:v>
      </x:c>
      <x:c r="H110" s="14" t="n">
        <x:v>1744.24</x:v>
      </x:c>
      <x:c r="I110" s="14" t="n">
        <x:f>IFERROR(H110/G110,0)</x:f>
        <x:v>0.014520208116545266</x:v>
      </x:c>
      <x:c r="J110" s="14" t="n">
        <x:f>IF(C110=85,1,(E110*I110)/(1+(E110-IF(F110="",E110/2,F110))*I110))</x:f>
        <x:v>0.07005790227946045</x:v>
      </x:c>
      <x:c r="K110" s="14" t="n">
        <x:f>IF(OR(ROW()=2,A110&lt;&gt;A109,B110&lt;&gt;B109),100000,K109-L109)</x:f>
        <x:v>90720.0113698106</x:v>
      </x:c>
      <x:c r="L110" s="14" t="n">
        <x:f>K110*J110</x:f>
        <x:v>6355.653691337731</x:v>
      </x:c>
      <x:c r="M110" s="14" t="n">
        <x:f>IF(C110=85,K110/I110,E110*K110-(E110-F110)*L110)</x:f>
        <x:v>437710.9226207087</x:v>
      </x:c>
      <x:c r="N110" s="14" t="n">
        <x:f>SUMIFS(M:M,A:A,A110,B:B,B110,C:C,"&gt;="&amp;C110)</x:f>
        <x:v>1672505.8951324422</x:v>
      </x:c>
      <x:c r="O110" s="14" t="n">
        <x:f>N110/K110</x:f>
        <x:v>18.435909231918497</x:v>
      </x:c>
      <x:c r="P110" s="14" t="str">
        <x:f>IF(C110=0,85-O110,"")</x:f>
      </x:c>
    </x:row>
    <x:row r="111">
      <x:c r="A111" s="14" t="n">
        <x:v>2021</x:v>
      </x:c>
      <x:c r="B111" s="14" t="str">
        <x:v>Mujeres</x:v>
      </x:c>
      <x:c r="C111" s="14" t="n">
        <x:v>65</x:v>
      </x:c>
      <x:c r="D111" s="14" t="str">
        <x:v>65-69</x:v>
      </x:c>
      <x:c r="E111" s="14" t="n">
        <x:v>5</x:v>
      </x:c>
      <x:c r="F111" s="14" t="n">
        <x:v>2.5</x:v>
      </x:c>
      <x:c r="G111" s="14" t="n">
        <x:v>105109</x:v>
      </x:c>
      <x:c r="H111" s="14" t="n">
        <x:v>2615.48</x:v>
      </x:c>
      <x:c r="I111" s="14" t="n">
        <x:f>IFERROR(H111/G111,0)</x:f>
        <x:v>0.024883501888515732</x:v>
      </x:c>
      <x:c r="J111" s="14" t="n">
        <x:f>IF(C111=85,1,(E111*I111)/(1+(E111-IF(F111="",E111/2,F111))*I111))</x:f>
        <x:v>0.11713093955361374</x:v>
      </x:c>
      <x:c r="K111" s="14" t="n">
        <x:f>IF(OR(ROW()=2,A111&lt;&gt;A110,B111&lt;&gt;B110),100000,K110-L110)</x:f>
        <x:v>84364.35767847286</x:v>
      </x:c>
      <x:c r="L111" s="14" t="n">
        <x:f>K111*J111</x:f>
        <x:v>9881.676479716654</x:v>
      </x:c>
      <x:c r="M111" s="14" t="n">
        <x:f>IF(C111=85,K111/I111,E111*K111-(E111-F111)*L111)</x:f>
        <x:v>397117.5971930727</x:v>
      </x:c>
      <x:c r="N111" s="14" t="n">
        <x:f>SUMIFS(M:M,A:A,A111,B:B,B111,C:C,"&gt;="&amp;C111)</x:f>
        <x:v>1234794.9725117336</x:v>
      </x:c>
      <x:c r="O111" s="14" t="n">
        <x:f>N111/K111</x:f>
        <x:v>14.636453195290724</x:v>
      </x:c>
      <x:c r="P111" s="14" t="str">
        <x:f>IF(C111=0,85-O111,"")</x:f>
      </x:c>
    </x:row>
    <x:row r="112">
      <x:c r="A112" s="14" t="n">
        <x:v>2021</x:v>
      </x:c>
      <x:c r="B112" s="14" t="str">
        <x:v>Mujeres</x:v>
      </x:c>
      <x:c r="C112" s="14" t="n">
        <x:v>70</x:v>
      </x:c>
      <x:c r="D112" s="14" t="str">
        <x:v>70-74</x:v>
      </x:c>
      <x:c r="E112" s="14" t="n">
        <x:v>5</x:v>
      </x:c>
      <x:c r="F112" s="14" t="n">
        <x:v>2.5</x:v>
      </x:c>
      <x:c r="G112" s="14" t="n">
        <x:v>90093</x:v>
      </x:c>
      <x:c r="H112" s="14" t="n">
        <x:v>3834.73</x:v>
      </x:c>
      <x:c r="I112" s="14" t="n">
        <x:f>IFERROR(H112/G112,0)</x:f>
        <x:v>0.04256412817865983</x:v>
      </x:c>
      <x:c r="J112" s="14" t="n">
        <x:f>IF(C112=85,1,(E112*I112)/(1+(E112-IF(F112="",E112/2,F112))*I112))</x:f>
        <x:v>0.19235236418201979</x:v>
      </x:c>
      <x:c r="K112" s="14" t="n">
        <x:f>IF(OR(ROW()=2,A112&lt;&gt;A111,B112&lt;&gt;B111),100000,K111-L111)</x:f>
        <x:v>74482.68119875621</x:v>
      </x:c>
      <x:c r="L112" s="14" t="n">
        <x:f>K112*J112</x:f>
        <x:v>14326.919819196433</x:v>
      </x:c>
      <x:c r="M112" s="14" t="n">
        <x:f>IF(C112=85,K112/I112,E112*K112-(E112-F112)*L112)</x:f>
        <x:v>336596.10644579</x:v>
      </x:c>
      <x:c r="N112" s="14" t="n">
        <x:f>SUMIFS(M:M,A:A,A112,B:B,B112,C:C,"&gt;="&amp;C112)</x:f>
        <x:v>837677.375318661</x:v>
      </x:c>
      <x:c r="O112" s="14" t="n">
        <x:f>N112/K112</x:f>
        <x:v>11.24660608126241</x:v>
      </x:c>
      <x:c r="P112" s="14" t="str">
        <x:f>IF(C112=0,85-O112,"")</x:f>
      </x:c>
    </x:row>
    <x:row r="113">
      <x:c r="A113" s="14" t="n">
        <x:v>2021</x:v>
      </x:c>
      <x:c r="B113" s="14" t="str">
        <x:v>Mujeres</x:v>
      </x:c>
      <x:c r="C113" s="14" t="n">
        <x:v>75</x:v>
      </x:c>
      <x:c r="D113" s="14" t="str">
        <x:v>75-79</x:v>
      </x:c>
      <x:c r="E113" s="14" t="n">
        <x:v>5</x:v>
      </x:c>
      <x:c r="F113" s="14" t="n">
        <x:v>2.5</x:v>
      </x:c>
      <x:c r="G113" s="14" t="n">
        <x:v>75078</x:v>
      </x:c>
      <x:c r="H113" s="14" t="n">
        <x:v>5599.38</x:v>
      </x:c>
      <x:c r="I113" s="14" t="n">
        <x:f>IFERROR(H113/G113,0)</x:f>
        <x:v>0.07458083593063214</x:v>
      </x:c>
      <x:c r="J113" s="14" t="n">
        <x:f>IF(C113=85,1,(E113*I113)/(1+(E113-IF(F113="",E113/2,F113))*I113))</x:f>
        <x:v>0.3143019282874429</x:v>
      </x:c>
      <x:c r="K113" s="14" t="n">
        <x:f>IF(OR(ROW()=2,A113&lt;&gt;A112,B113&lt;&gt;B112),100000,K112-L112)</x:f>
        <x:v>60155.76137955978</x:v>
      </x:c>
      <x:c r="L113" s="14" t="n">
        <x:f>K113*J113</x:f>
        <x:v>18907.071799194924</x:v>
      </x:c>
      <x:c r="M113" s="14" t="n">
        <x:f>IF(C113=85,K113/I113,E113*K113-(E113-F113)*L113)</x:f>
        <x:v>253511.12739981158</x:v>
      </x:c>
      <x:c r="N113" s="14" t="n">
        <x:f>SUMIFS(M:M,A:A,A113,B:B,B113,C:C,"&gt;="&amp;C113)</x:f>
        <x:v>501081.26887287095</x:v>
      </x:c>
      <x:c r="O113" s="14" t="n">
        <x:f>N113/K113</x:f>
        <x:v>8.329730309807573</x:v>
      </x:c>
      <x:c r="P113" s="14" t="str">
        <x:f>IF(C113=0,85-O113,"")</x:f>
      </x:c>
    </x:row>
    <x:row r="114">
      <x:c r="A114" s="14" t="n">
        <x:v>2021</x:v>
      </x:c>
      <x:c r="B114" s="14" t="str">
        <x:v>Mujeres</x:v>
      </x:c>
      <x:c r="C114" s="14" t="n">
        <x:v>80</x:v>
      </x:c>
      <x:c r="D114" s="14" t="str">
        <x:v>80-84</x:v>
      </x:c>
      <x:c r="E114" s="14" t="n">
        <x:v>5</x:v>
      </x:c>
      <x:c r="F114" s="14" t="n">
        <x:v>2.5</x:v>
      </x:c>
      <x:c r="G114" s="14" t="n">
        <x:v>60062</x:v>
      </x:c>
      <x:c r="H114" s="14" t="n">
        <x:v>8447.53</x:v>
      </x:c>
      <x:c r="I114" s="14" t="n">
        <x:f>IFERROR(H114/G114,0)</x:f>
        <x:v>0.1406468316073391</x:v>
      </x:c>
      <x:c r="J114" s="14" t="n">
        <x:f>IF(C114=85,1,(E114*I114)/(1+(E114-IF(F114="",E114/2,F114))*I114))</x:f>
        <x:v>0.520290967725445</x:v>
      </x:c>
      <x:c r="K114" s="14" t="n">
        <x:f>IF(OR(ROW()=2,A114&lt;&gt;A113,B114&lt;&gt;B113),100000,K113-L113)</x:f>
        <x:v>41248.68958036485</x:v>
      </x:c>
      <x:c r="L114" s="14" t="n">
        <x:f>K114*J114</x:f>
        <x:v>21461.32061917451</x:v>
      </x:c>
      <x:c r="M114" s="14" t="n">
        <x:f>IF(C114=85,K114/I114,E114*K114-(E114-F114)*L114)</x:f>
        <x:v>152590.14635388798</x:v>
      </x:c>
      <x:c r="N114" s="14" t="n">
        <x:f>SUMIFS(M:M,A:A,A114,B:B,B114,C:C,"&gt;="&amp;C114)</x:f>
        <x:v>247570.14147305937</x:v>
      </x:c>
      <x:c r="O114" s="14" t="n">
        <x:f>N114/K114</x:f>
        <x:v>6.001891065914186</x:v>
      </x:c>
      <x:c r="P114" s="14" t="str">
        <x:f>IF(C114=0,85-O114,"")</x:f>
      </x:c>
    </x:row>
    <x:row r="115">
      <x:c r="A115" s="14" t="n">
        <x:v>2021</x:v>
      </x:c>
      <x:c r="B115" s="14" t="str">
        <x:v>Mujeres</x:v>
      </x:c>
      <x:c r="C115" s="14" t="n">
        <x:v>85</x:v>
      </x:c>
      <x:c r="D115" s="14" t="str">
        <x:v>85+</x:v>
      </x:c>
      <x:c r="E115" s="14" t="n">
        <x:v>999</x:v>
      </x:c>
      <x:c r="F115" s="14" t="str"/>
      <x:c r="G115" s="14" t="n">
        <x:v>45047</x:v>
      </x:c>
      <x:c r="H115" s="14" t="n">
        <x:v>9384.73</x:v>
      </x:c>
      <x:c r="I115" s="14" t="n">
        <x:f>IFERROR(H115/G115,0)</x:f>
        <x:v>0.20833196439274534</x:v>
      </x:c>
      <x:c r="J115" s="14" t="n">
        <x:f>IF(C115=85,1,(E115*I115)/(1+(E115-IF(F115="",E115/2,F115))*I115))</x:f>
        <x:v>1</x:v>
      </x:c>
      <x:c r="K115" s="14" t="n">
        <x:f>IF(OR(ROW()=2,A115&lt;&gt;A114,B115&lt;&gt;B114),100000,K114-L114)</x:f>
        <x:v>19787.368961190343</x:v>
      </x:c>
      <x:c r="L115" s="14" t="n">
        <x:f>K115*J115</x:f>
        <x:v>19787.368961190343</x:v>
      </x:c>
      <x:c r="M115" s="14" t="n">
        <x:f>IF(C115=85,K115/I115,E115*K115-(E115-F115)*L115)</x:f>
        <x:v>94979.9951191714</x:v>
      </x:c>
      <x:c r="N115" s="14" t="n">
        <x:f>SUMIFS(M:M,A:A,A115,B:B,B115,C:C,"&gt;="&amp;C115)</x:f>
        <x:v>94979.9951191714</x:v>
      </x:c>
      <x:c r="O115" s="14" t="n">
        <x:f>N115/K115</x:f>
        <x:v>4.800031540598398</x:v>
      </x:c>
      <x:c r="P115" s="14" t="str">
        <x:f>IF(C115=0,85-O115,"")</x:f>
      </x:c>
    </x:row>
  </x:sheetData>
  <x:pageMargins left="0.7" right="0.7" top="0.75" bottom="0.75" header="0.3" footer="0.3"/>
  <x:tableParts count="1">
    <x:tablePart xmlns:r="http://schemas.openxmlformats.org/officeDocument/2006/relationships" r:id="R02abf0be7b814d8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7.269999980926514" hidden="0" customWidth="1"/>
    <x:col min="3" max="3" width="10.5" hidden="0" customWidth="1"/>
    <x:col min="4" max="4" width="11.170000076293945" hidden="0" customWidth="1"/>
    <x:col min="5" max="5" width="10.630000114440918" hidden="0" customWidth="1"/>
    <x:col min="6" max="6" width="30.959999084472656" hidden="0" customWidth="1"/>
  </x:cols>
  <x:sheetData>
    <x:row r="1">
      <x:c r="A1" s="22" t="str">
        <x:v>anio</x:v>
      </x:c>
      <x:c r="B1" s="22" t="str">
        <x:v>sexo</x:v>
      </x:c>
      <x:c r="C1" s="28" t="str">
        <x:v>e0_calculada</x:v>
      </x:c>
      <x:c r="D1" s="28" t="str">
        <x:v>e0_referencia</x:v>
      </x:c>
      <x:c r="E1" s="28" t="str">
        <x:v>diferencia</x:v>
      </x:c>
      <x:c r="F1" s="22" t="str">
        <x:v>comentario</x:v>
      </x:c>
    </x:row>
    <x:row r="2">
      <x:c r="A2" s="14" t="n">
        <x:v>2010</x:v>
      </x:c>
      <x:c r="B2" s="14" t="str">
        <x:v>Hombres</x:v>
      </x:c>
      <x:c r="C2" s="14" t="n">
        <x:f>SUMIFS(Base_Datos!O:O,Base_Datos!A:A,A2,Base_Datos!B:B,B2,Base_Datos!C:C,0)</x:f>
        <x:v>74.599950664425</x:v>
      </x:c>
      <x:c r="D2" s="14" t="n">
        <x:v>74.6</x:v>
      </x:c>
      <x:c r="E2" s="14" t="n">
        <x:f>C2-D2</x:f>
        <x:v>-0.00004933557499953167</x:v>
      </x:c>
      <x:c r="F2" s="14" t="str">
        <x:v>Referencia pre-pandemia</x:v>
      </x:c>
    </x:row>
    <x:row r="3">
      <x:c r="A3" s="14" t="n">
        <x:v>2010</x:v>
      </x:c>
      <x:c r="B3" s="14" t="str">
        <x:v>Mujeres</x:v>
      </x:c>
      <x:c r="C3" s="14" t="n">
        <x:f>SUMIFS(Base_Datos!O:O,Base_Datos!A:A,A3,Base_Datos!B:B,B3,Base_Datos!C:C,0)</x:f>
        <x:v>80.29999876570238</x:v>
      </x:c>
      <x:c r="D3" s="14" t="n">
        <x:v>80.3</x:v>
      </x:c>
      <x:c r="E3" s="14" t="n">
        <x:f>C3-D3</x:f>
        <x:v>-0.000001234297613450508</x:v>
      </x:c>
      <x:c r="F3" s="14" t="str">
        <x:v>Referencia pre-pandemia</x:v>
      </x:c>
    </x:row>
    <x:row r="4">
      <x:c r="A4" s="14" t="n">
        <x:v>2019</x:v>
      </x:c>
      <x:c r="B4" s="14" t="str">
        <x:v>Hombres</x:v>
      </x:c>
      <x:c r="C4" s="14" t="n">
        <x:f>SUMIFS(Base_Datos!O:O,Base_Datos!A:A,A4,Base_Datos!B:B,B4,Base_Datos!C:C,0)</x:f>
        <x:v>74.79999497378817</x:v>
      </x:c>
      <x:c r="D4" s="14" t="n">
        <x:v>74.8</x:v>
      </x:c>
      <x:c r="E4" s="14" t="n">
        <x:f>C4-D4</x:f>
        <x:v>-0.000005026211823633275</x:v>
      </x:c>
      <x:c r="F4" s="14" t="str">
        <x:v>Referencia pre-pandemia</x:v>
      </x:c>
    </x:row>
    <x:row r="5">
      <x:c r="A5" s="14" t="n">
        <x:v>2019</x:v>
      </x:c>
      <x:c r="B5" s="14" t="str">
        <x:v>Mujeres</x:v>
      </x:c>
      <x:c r="C5" s="14" t="n">
        <x:f>SUMIFS(Base_Datos!O:O,Base_Datos!A:A,A5,Base_Datos!B:B,B5,Base_Datos!C:C,0)</x:f>
        <x:v>80.49994882197662</x:v>
      </x:c>
      <x:c r="D5" s="14" t="n">
        <x:v>80.5</x:v>
      </x:c>
      <x:c r="E5" s="14" t="n">
        <x:f>C5-D5</x:f>
        <x:v>-0.000051178023383613436</x:v>
      </x:c>
      <x:c r="F5" s="14" t="str">
        <x:v>Referencia pre-pandemia</x:v>
      </x:c>
    </x:row>
    <x:row r="6">
      <x:c r="A6" s="14" t="n">
        <x:v>2021</x:v>
      </x:c>
      <x:c r="B6" s="14" t="str">
        <x:v>Hombres</x:v>
      </x:c>
      <x:c r="C6" s="14" t="n">
        <x:f>SUMIFS(Base_Datos!O:O,Base_Datos!A:A,A6,Base_Datos!B:B,B6,Base_Datos!C:C,0)</x:f>
        <x:v>67.09999648752401</x:v>
      </x:c>
      <x:c r="D6" s="14" t="n">
        <x:v>67.1</x:v>
      </x:c>
      <x:c r="E6" s="14" t="n">
        <x:f>C6-D6</x:f>
        <x:v>-0.0000035124759847349196</x:v>
      </x:c>
      <x:c r="F6" s="14" t="str">
        <x:v>Disminución en 2021 por efecto COVID</x:v>
      </x:c>
    </x:row>
    <x:row r="7">
      <x:c r="A7" s="14" t="n">
        <x:v>2021</x:v>
      </x:c>
      <x:c r="B7" s="14" t="str">
        <x:v>Mujeres</x:v>
      </x:c>
      <x:c r="C7" s="14" t="n">
        <x:f>SUMIFS(Base_Datos!O:O,Base_Datos!A:A,A7,Base_Datos!B:B,B7,Base_Datos!C:C,0)</x:f>
        <x:v>75.59998563287347</x:v>
      </x:c>
      <x:c r="D7" s="14" t="n">
        <x:v>75.6</x:v>
      </x:c>
      <x:c r="E7" s="14" t="n">
        <x:f>C7-D7</x:f>
        <x:v>-0.000014367126524916785</x:v>
      </x:c>
      <x:c r="F7" s="14" t="str">
        <x:v>Disminución en 2021 por efecto COVID</x:v>
      </x:c>
    </x:row>
  </x:sheetData>
  <x:pageMargins left="0.7" right="0.7" top="0.75" bottom="0.75" header="0.3" footer="0.3"/>
  <x:drawing xmlns:r="http://schemas.openxmlformats.org/officeDocument/2006/relationships" r:id="Ree0524a19c334d3f"/>
  <x:tableParts count="1">
    <x:tablePart xmlns:r="http://schemas.openxmlformats.org/officeDocument/2006/relationships" r:id="R936b2444e903491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55" hidden="0" customWidth="1"/>
    <x:col min="3" max="3" width="75" hidden="0" customWidth="1"/>
  </x:cols>
  <x:sheetData>
    <x:row r="1">
      <x:c r="A1" s="30" t="str">
        <x:v>Fuente</x:v>
      </x:c>
      <x:c r="B1" s="30" t="str">
        <x:v>Uso en el proyecto</x:v>
      </x:c>
      <x:c r="C1" s="30" t="str">
        <x:v>URL</x:v>
      </x:c>
    </x:row>
    <x:row r="2">
      <x:c r="A2" s="14" t="str">
        <x:v>INEGI - Estadísticas de Defunciones Registradas (EDR)</x:v>
      </x:c>
      <x:c r="B2" s="14" t="str">
        <x:v>Fuente oficial para defunciones registradas por entidad, sexo y edad.</x:v>
      </x:c>
      <x:c r="C2" s="14" t="str">
        <x:v>https://www.inegi.org.mx/programas/edr/</x:v>
      </x:c>
    </x:row>
    <x:row r="3">
      <x:c r="A3" s="14" t="str">
        <x:v>INEGI - Tabulados interactivos de mortalidad</x:v>
      </x:c>
      <x:c r="B3" s="14" t="str">
        <x:v>Referencia de defunciones registradas y esperanza de vida por entidad federativa y sexo.</x:v>
      </x:c>
      <x:c r="C3" s="14" t="str">
        <x:v>https://www.inegi.org.mx/app/tabulados/interactivos/?bd=Mortalidad</x:v>
      </x:c>
    </x:row>
    <x:row r="4">
      <x:c r="A4" s="14" t="str">
        <x:v>CONAPO/datos.gob.mx - Proyecciones de población</x:v>
      </x:c>
      <x:c r="B4" s="14" t="str">
        <x:v>Fuente para población a mitad de año por edad, sexo y entidad; útil como población expuesta al riesgo.</x:v>
      </x:c>
      <x:c r="C4" s="14" t="str">
        <x:v>https://www.datos.gob.mx/dataset/proyecciones-de-poblacion</x:v>
      </x:c>
    </x:row>
    <x:row r="5">
      <x:c r="A5" s="14" t="str">
        <x:v>INEGI - Censo de Población y Vivienda 2020 Nuevo León</x:v>
      </x:c>
      <x:c r="B5" s="14" t="str">
        <x:v>Contexto de Nuevo León: población total, estructura por edad y sexo.</x:v>
      </x:c>
      <x:c r="C5" s="14" t="str">
        <x:v>https://www.inegi.org.mx/contenidos/saladeprensa/boletines/2021/EstSociodemo/ResultCenso2020_NL.pdf</x:v>
      </x:c>
    </x:row>
    <x:row r="6">
      <x:c r="A6" s="14" t="str">
        <x:v>Nota metodológica del archivo</x:v>
      </x:c>
      <x:c r="B6" s="14" t="str">
        <x:v>La base incluida es didáctica/calibrada para permitir reproducibilidad completa; reemplazable con datos oficiales descargados.</x:v>
      </x:c>
      <x:c r="C6" s="14" t="str">
        <x:v>Incluido en README.md y reporte.qmd</x:v>
      </x:c>
    </x:row>
  </x:sheetData>
  <x:pageMargins left="0.7" right="0.7" top="0.75" bottom="0.75" header="0.3" footer="0.3"/>
  <x:tableParts count="1">
    <x:tablePart xmlns:r="http://schemas.openxmlformats.org/officeDocument/2006/relationships" r:id="R8ffc59c4d3f5436a"/>
  </x:tableParts>
</x:worksheet>
</file>