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tza_\Documents\Demo\Demography_9219\data\"/>
    </mc:Choice>
  </mc:AlternateContent>
  <xr:revisionPtr revIDLastSave="0" documentId="8_{482E4FA8-00C4-4C3A-B894-1ED8137044B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EFE_2010_2019" sheetId="2" r:id="rId1"/>
    <sheet name="Calculos_TGF_TBR_TNR" sheetId="3" r:id="rId2"/>
    <sheet name="Grafica_TEFE_2019" sheetId="4" r:id="rId3"/>
  </sheets>
  <calcPr calcId="191029"/>
</workbook>
</file>

<file path=xl/calcChain.xml><?xml version="1.0" encoding="utf-8"?>
<calcChain xmlns="http://schemas.openxmlformats.org/spreadsheetml/2006/main">
  <c r="G3" i="3" l="1"/>
  <c r="E3" i="3"/>
  <c r="G2" i="3"/>
  <c r="E2" i="3"/>
  <c r="H3" i="3" l="1"/>
  <c r="F3" i="3"/>
  <c r="H2" i="3"/>
  <c r="F2" i="3"/>
</calcChain>
</file>

<file path=xl/sharedStrings.xml><?xml version="1.0" encoding="utf-8"?>
<sst xmlns="http://schemas.openxmlformats.org/spreadsheetml/2006/main" count="86" uniqueCount="25">
  <si>
    <t>TEFE</t>
  </si>
  <si>
    <t>TGF</t>
  </si>
  <si>
    <t>TBR</t>
  </si>
  <si>
    <t>TNR</t>
  </si>
  <si>
    <t>anio</t>
  </si>
  <si>
    <t>entidad</t>
  </si>
  <si>
    <t>edad_grupo</t>
  </si>
  <si>
    <t>supervivencia_femenina</t>
  </si>
  <si>
    <t>Nuevo León</t>
  </si>
  <si>
    <t>15-19</t>
  </si>
  <si>
    <t>20-24</t>
  </si>
  <si>
    <t>25-29</t>
  </si>
  <si>
    <t>30-34</t>
  </si>
  <si>
    <t>35-39</t>
  </si>
  <si>
    <t>40-44</t>
  </si>
  <si>
    <t>45-49</t>
  </si>
  <si>
    <t>México</t>
  </si>
  <si>
    <t>España</t>
  </si>
  <si>
    <t>suma_TEFE</t>
  </si>
  <si>
    <t>suma_TEFE_x_supervivencia</t>
  </si>
  <si>
    <t>interpretacion_TNR</t>
  </si>
  <si>
    <t>parametro</t>
  </si>
  <si>
    <t>valor</t>
  </si>
  <si>
    <t>proporcion_nacimientos_femeninos</t>
  </si>
  <si>
    <t>ancho_intervalo_edad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</si>
</sst>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Curvas TEFE 2019: Nuevo León, México y España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Nuevo León</c:v>
          </c:tx>
          <c:cat>
            <c:strRef>
              <c:f>Grafica_TEFE_2019!$A$2:$A$8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Grafica_TEFE_2019!$B$2:$B$8</c:f>
              <c:numCache>
                <c:formatCode>0.000</c:formatCode>
                <c:ptCount val="7"/>
                <c:pt idx="0">
                  <c:v>4.2000000000000003E-2</c:v>
                </c:pt>
                <c:pt idx="1">
                  <c:v>8.5999999999999993E-2</c:v>
                </c:pt>
                <c:pt idx="2">
                  <c:v>9.2999999999999999E-2</c:v>
                </c:pt>
                <c:pt idx="3">
                  <c:v>7.2999999999999995E-2</c:v>
                </c:pt>
                <c:pt idx="4">
                  <c:v>0.04</c:v>
                </c:pt>
                <c:pt idx="5">
                  <c:v>1.0999999999999999E-2</c:v>
                </c:pt>
                <c:pt idx="6">
                  <c:v>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3-4B17-BA0C-179B1995C7C1}"/>
            </c:ext>
          </c:extLst>
        </c:ser>
        <c:ser>
          <c:idx val="1"/>
          <c:order val="1"/>
          <c:tx>
            <c:v>México</c:v>
          </c:tx>
          <c:cat>
            <c:strRef>
              <c:f>Grafica_TEFE_2019!$A$2:$A$8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Grafica_TEFE_2019!$C$2:$C$8</c:f>
              <c:numCache>
                <c:formatCode>0.000</c:formatCode>
                <c:ptCount val="7"/>
                <c:pt idx="0">
                  <c:v>0.06</c:v>
                </c:pt>
                <c:pt idx="1">
                  <c:v>0.105</c:v>
                </c:pt>
                <c:pt idx="2">
                  <c:v>0.1</c:v>
                </c:pt>
                <c:pt idx="3">
                  <c:v>7.0000000000000007E-2</c:v>
                </c:pt>
                <c:pt idx="4">
                  <c:v>3.5000000000000003E-2</c:v>
                </c:pt>
                <c:pt idx="5">
                  <c:v>0.01</c:v>
                </c:pt>
                <c:pt idx="6">
                  <c:v>1.5E-3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3-4B17-BA0C-179B1995C7C1}"/>
            </c:ext>
          </c:extLst>
        </c:ser>
        <c:ser>
          <c:idx val="2"/>
          <c:order val="2"/>
          <c:tx>
            <c:v>España</c:v>
          </c:tx>
          <c:cat>
            <c:strRef>
              <c:f>Grafica_TEFE_2019!$A$2:$A$8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Grafica_TEFE_2019!$D$2:$D$8</c:f>
              <c:numCache>
                <c:formatCode>0.000</c:formatCode>
                <c:ptCount val="7"/>
                <c:pt idx="0">
                  <c:v>8.0000000000000002E-3</c:v>
                </c:pt>
                <c:pt idx="1">
                  <c:v>2.7E-2</c:v>
                </c:pt>
                <c:pt idx="2">
                  <c:v>6.2E-2</c:v>
                </c:pt>
                <c:pt idx="3">
                  <c:v>8.7999999999999995E-2</c:v>
                </c:pt>
                <c:pt idx="4">
                  <c:v>4.3999999999999997E-2</c:v>
                </c:pt>
                <c:pt idx="5">
                  <c:v>0.01</c:v>
                </c:pt>
                <c:pt idx="6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F3-4B17-BA0C-179B1995C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topLeftCell="A16" workbookViewId="0">
      <selection activeCell="B12" sqref="B12"/>
    </sheetView>
  </sheetViews>
  <sheetFormatPr baseColWidth="10" defaultColWidth="9" defaultRowHeight="14.25"/>
  <cols>
    <col min="1" max="1" width="12" customWidth="1"/>
    <col min="2" max="2" width="18" customWidth="1"/>
    <col min="3" max="3" width="15" customWidth="1"/>
    <col min="4" max="4" width="14" customWidth="1"/>
    <col min="5" max="5" width="24" customWidth="1"/>
    <col min="6" max="6" width="48" customWidth="1"/>
  </cols>
  <sheetData>
    <row r="1" spans="1:5" ht="15">
      <c r="A1" s="2" t="s">
        <v>4</v>
      </c>
      <c r="B1" s="2" t="s">
        <v>5</v>
      </c>
      <c r="C1" s="2" t="s">
        <v>6</v>
      </c>
      <c r="D1" s="2" t="s">
        <v>0</v>
      </c>
      <c r="E1" s="2" t="s">
        <v>7</v>
      </c>
    </row>
    <row r="2" spans="1:5">
      <c r="A2">
        <v>2010</v>
      </c>
      <c r="B2" t="s">
        <v>8</v>
      </c>
      <c r="C2" t="s">
        <v>9</v>
      </c>
      <c r="D2" s="4">
        <v>5.5E-2</v>
      </c>
      <c r="E2" s="4">
        <v>0.995</v>
      </c>
    </row>
    <row r="3" spans="1:5">
      <c r="A3">
        <v>2010</v>
      </c>
      <c r="B3" t="s">
        <v>8</v>
      </c>
      <c r="C3" t="s">
        <v>10</v>
      </c>
      <c r="D3" s="4">
        <v>0.12</v>
      </c>
      <c r="E3" s="4">
        <v>0.99399999999999999</v>
      </c>
    </row>
    <row r="4" spans="1:5">
      <c r="A4">
        <v>2010</v>
      </c>
      <c r="B4" t="s">
        <v>8</v>
      </c>
      <c r="C4" t="s">
        <v>11</v>
      </c>
      <c r="D4" s="4">
        <v>0.108</v>
      </c>
      <c r="E4" s="4">
        <v>0.99299999999999999</v>
      </c>
    </row>
    <row r="5" spans="1:5">
      <c r="A5">
        <v>2010</v>
      </c>
      <c r="B5" t="s">
        <v>8</v>
      </c>
      <c r="C5" t="s">
        <v>12</v>
      </c>
      <c r="D5" s="4">
        <v>7.4999999999999997E-2</v>
      </c>
      <c r="E5" s="4">
        <v>0.99199999999999999</v>
      </c>
    </row>
    <row r="6" spans="1:5">
      <c r="A6">
        <v>2010</v>
      </c>
      <c r="B6" t="s">
        <v>8</v>
      </c>
      <c r="C6" t="s">
        <v>13</v>
      </c>
      <c r="D6" s="4">
        <v>0.04</v>
      </c>
      <c r="E6" s="4">
        <v>0.99099999999999999</v>
      </c>
    </row>
    <row r="7" spans="1:5">
      <c r="A7">
        <v>2010</v>
      </c>
      <c r="B7" t="s">
        <v>8</v>
      </c>
      <c r="C7" t="s">
        <v>14</v>
      </c>
      <c r="D7" s="4">
        <v>1.2E-2</v>
      </c>
      <c r="E7" s="4">
        <v>0.99</v>
      </c>
    </row>
    <row r="8" spans="1:5">
      <c r="A8">
        <v>2010</v>
      </c>
      <c r="B8" t="s">
        <v>8</v>
      </c>
      <c r="C8" t="s">
        <v>15</v>
      </c>
      <c r="D8" s="4">
        <v>2E-3</v>
      </c>
      <c r="E8" s="4">
        <v>0.98899999999999999</v>
      </c>
    </row>
    <row r="9" spans="1:5">
      <c r="A9">
        <v>2019</v>
      </c>
      <c r="B9" t="s">
        <v>8</v>
      </c>
      <c r="C9" t="s">
        <v>9</v>
      </c>
      <c r="D9" s="4">
        <v>4.2000000000000003E-2</v>
      </c>
      <c r="E9" s="4">
        <v>0.995</v>
      </c>
    </row>
    <row r="10" spans="1:5">
      <c r="A10">
        <v>2019</v>
      </c>
      <c r="B10" t="s">
        <v>8</v>
      </c>
      <c r="C10" t="s">
        <v>10</v>
      </c>
      <c r="D10" s="4">
        <v>8.5999999999999993E-2</v>
      </c>
      <c r="E10" s="4">
        <v>0.99399999999999999</v>
      </c>
    </row>
    <row r="11" spans="1:5">
      <c r="A11">
        <v>2019</v>
      </c>
      <c r="B11" t="s">
        <v>8</v>
      </c>
      <c r="C11" t="s">
        <v>11</v>
      </c>
      <c r="D11" s="4">
        <v>9.2999999999999999E-2</v>
      </c>
      <c r="E11" s="4">
        <v>0.99299999999999999</v>
      </c>
    </row>
    <row r="12" spans="1:5">
      <c r="A12">
        <v>2019</v>
      </c>
      <c r="B12" t="s">
        <v>8</v>
      </c>
      <c r="C12" t="s">
        <v>12</v>
      </c>
      <c r="D12" s="4">
        <v>7.2999999999999995E-2</v>
      </c>
      <c r="E12" s="4">
        <v>0.99199999999999999</v>
      </c>
    </row>
    <row r="13" spans="1:5">
      <c r="A13">
        <v>2019</v>
      </c>
      <c r="B13" t="s">
        <v>8</v>
      </c>
      <c r="C13" t="s">
        <v>13</v>
      </c>
      <c r="D13" s="4">
        <v>0.04</v>
      </c>
      <c r="E13" s="4">
        <v>0.99099999999999999</v>
      </c>
    </row>
    <row r="14" spans="1:5">
      <c r="A14">
        <v>2019</v>
      </c>
      <c r="B14" t="s">
        <v>8</v>
      </c>
      <c r="C14" t="s">
        <v>14</v>
      </c>
      <c r="D14" s="4">
        <v>1.0999999999999999E-2</v>
      </c>
      <c r="E14" s="4">
        <v>0.99</v>
      </c>
    </row>
    <row r="15" spans="1:5">
      <c r="A15">
        <v>2019</v>
      </c>
      <c r="B15" t="s">
        <v>8</v>
      </c>
      <c r="C15" t="s">
        <v>15</v>
      </c>
      <c r="D15" s="4">
        <v>2E-3</v>
      </c>
      <c r="E15" s="4">
        <v>0.98899999999999999</v>
      </c>
    </row>
    <row r="16" spans="1:5">
      <c r="A16">
        <v>2019</v>
      </c>
      <c r="B16" t="s">
        <v>16</v>
      </c>
      <c r="C16" t="s">
        <v>9</v>
      </c>
      <c r="D16" s="4">
        <v>0.06</v>
      </c>
      <c r="E16" s="4">
        <v>0.99399999999999999</v>
      </c>
    </row>
    <row r="17" spans="1:5">
      <c r="A17">
        <v>2019</v>
      </c>
      <c r="B17" t="s">
        <v>16</v>
      </c>
      <c r="C17" t="s">
        <v>10</v>
      </c>
      <c r="D17" s="4">
        <v>0.105</v>
      </c>
      <c r="E17" s="4">
        <v>0.99299999999999999</v>
      </c>
    </row>
    <row r="18" spans="1:5">
      <c r="A18">
        <v>2019</v>
      </c>
      <c r="B18" t="s">
        <v>16</v>
      </c>
      <c r="C18" t="s">
        <v>11</v>
      </c>
      <c r="D18" s="4">
        <v>0.1</v>
      </c>
      <c r="E18" s="4">
        <v>0.99199999999999999</v>
      </c>
    </row>
    <row r="19" spans="1:5">
      <c r="A19">
        <v>2019</v>
      </c>
      <c r="B19" t="s">
        <v>16</v>
      </c>
      <c r="C19" t="s">
        <v>12</v>
      </c>
      <c r="D19" s="4">
        <v>7.0000000000000007E-2</v>
      </c>
      <c r="E19" s="4">
        <v>0.99099999999999999</v>
      </c>
    </row>
    <row r="20" spans="1:5">
      <c r="A20">
        <v>2019</v>
      </c>
      <c r="B20" t="s">
        <v>16</v>
      </c>
      <c r="C20" t="s">
        <v>13</v>
      </c>
      <c r="D20" s="4">
        <v>3.5000000000000003E-2</v>
      </c>
      <c r="E20" s="4">
        <v>0.99</v>
      </c>
    </row>
    <row r="21" spans="1:5">
      <c r="A21">
        <v>2019</v>
      </c>
      <c r="B21" t="s">
        <v>16</v>
      </c>
      <c r="C21" t="s">
        <v>14</v>
      </c>
      <c r="D21" s="4">
        <v>0.01</v>
      </c>
      <c r="E21" s="4">
        <v>0.98899999999999999</v>
      </c>
    </row>
    <row r="22" spans="1:5">
      <c r="A22">
        <v>2019</v>
      </c>
      <c r="B22" t="s">
        <v>16</v>
      </c>
      <c r="C22" t="s">
        <v>15</v>
      </c>
      <c r="D22" s="4">
        <v>1.5E-3</v>
      </c>
      <c r="E22" s="4">
        <v>0.98799999999999999</v>
      </c>
    </row>
    <row r="23" spans="1:5">
      <c r="A23">
        <v>2019</v>
      </c>
      <c r="B23" t="s">
        <v>17</v>
      </c>
      <c r="C23" t="s">
        <v>9</v>
      </c>
      <c r="D23" s="4">
        <v>8.0000000000000002E-3</v>
      </c>
      <c r="E23" s="4">
        <v>0.998</v>
      </c>
    </row>
    <row r="24" spans="1:5">
      <c r="A24">
        <v>2019</v>
      </c>
      <c r="B24" t="s">
        <v>17</v>
      </c>
      <c r="C24" t="s">
        <v>10</v>
      </c>
      <c r="D24" s="4">
        <v>2.7E-2</v>
      </c>
      <c r="E24" s="4">
        <v>0.998</v>
      </c>
    </row>
    <row r="25" spans="1:5">
      <c r="A25">
        <v>2019</v>
      </c>
      <c r="B25" t="s">
        <v>17</v>
      </c>
      <c r="C25" t="s">
        <v>11</v>
      </c>
      <c r="D25" s="4">
        <v>6.2E-2</v>
      </c>
      <c r="E25" s="4">
        <v>0.997</v>
      </c>
    </row>
    <row r="26" spans="1:5">
      <c r="A26">
        <v>2019</v>
      </c>
      <c r="B26" t="s">
        <v>17</v>
      </c>
      <c r="C26" t="s">
        <v>12</v>
      </c>
      <c r="D26" s="4">
        <v>8.7999999999999995E-2</v>
      </c>
      <c r="E26" s="4">
        <v>0.997</v>
      </c>
    </row>
    <row r="27" spans="1:5">
      <c r="A27">
        <v>2019</v>
      </c>
      <c r="B27" t="s">
        <v>17</v>
      </c>
      <c r="C27" t="s">
        <v>13</v>
      </c>
      <c r="D27" s="4">
        <v>4.3999999999999997E-2</v>
      </c>
      <c r="E27" s="4">
        <v>0.996</v>
      </c>
    </row>
    <row r="28" spans="1:5">
      <c r="A28">
        <v>2019</v>
      </c>
      <c r="B28" t="s">
        <v>17</v>
      </c>
      <c r="C28" t="s">
        <v>14</v>
      </c>
      <c r="D28" s="4">
        <v>0.01</v>
      </c>
      <c r="E28" s="4">
        <v>0.995</v>
      </c>
    </row>
    <row r="29" spans="1:5">
      <c r="A29">
        <v>2019</v>
      </c>
      <c r="B29" t="s">
        <v>17</v>
      </c>
      <c r="C29" t="s">
        <v>15</v>
      </c>
      <c r="D29" s="4">
        <v>1E-3</v>
      </c>
      <c r="E29" s="4">
        <v>0.99399999999999999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>
      <selection activeCell="I3" sqref="I3:J3"/>
    </sheetView>
  </sheetViews>
  <sheetFormatPr baseColWidth="10" defaultColWidth="9" defaultRowHeight="14.25"/>
  <cols>
    <col min="1" max="1" width="12" customWidth="1"/>
    <col min="2" max="2" width="18" customWidth="1"/>
    <col min="3" max="3" width="16" customWidth="1"/>
    <col min="4" max="4" width="28" customWidth="1"/>
    <col min="5" max="7" width="12" customWidth="1"/>
    <col min="8" max="8" width="28" customWidth="1"/>
    <col min="10" max="10" width="34" customWidth="1"/>
    <col min="11" max="11" width="12" customWidth="1"/>
  </cols>
  <sheetData>
    <row r="1" spans="1:11" ht="15">
      <c r="A1" s="2" t="s">
        <v>4</v>
      </c>
      <c r="B1" s="2" t="s">
        <v>5</v>
      </c>
      <c r="C1" s="2" t="s">
        <v>18</v>
      </c>
      <c r="D1" s="2" t="s">
        <v>19</v>
      </c>
      <c r="E1" s="2" t="s">
        <v>1</v>
      </c>
      <c r="F1" s="2" t="s">
        <v>2</v>
      </c>
      <c r="G1" s="2" t="s">
        <v>3</v>
      </c>
      <c r="H1" s="2" t="s">
        <v>20</v>
      </c>
      <c r="I1" s="6" t="s">
        <v>21</v>
      </c>
      <c r="J1" s="6"/>
      <c r="K1" s="2" t="s">
        <v>22</v>
      </c>
    </row>
    <row r="2" spans="1:11">
      <c r="A2" s="3">
        <v>2010</v>
      </c>
      <c r="B2" s="3" t="s">
        <v>8</v>
      </c>
      <c r="C2" s="5">
        <v>0.41199999999999998</v>
      </c>
      <c r="D2" s="5">
        <v>0.40914699999999998</v>
      </c>
      <c r="E2" s="5">
        <f>$K$3*C2</f>
        <v>2.06</v>
      </c>
      <c r="F2" s="5">
        <f>E2*$K$2</f>
        <v>1.00528</v>
      </c>
      <c r="G2" s="5">
        <f>$K$3*D2*$K$2</f>
        <v>0.99831868000000001</v>
      </c>
      <c r="H2" s="3" t="str">
        <f>IF(G2&lt;1,"Por debajo del reemplazo",IF(G2=1,"En reemplazo","Por arriba del reemplazo"))</f>
        <v>Por debajo del reemplazo</v>
      </c>
      <c r="I2" s="7" t="s">
        <v>23</v>
      </c>
      <c r="J2" s="7"/>
      <c r="K2" s="5">
        <v>0.48799999999999999</v>
      </c>
    </row>
    <row r="3" spans="1:11">
      <c r="A3" s="3">
        <v>2019</v>
      </c>
      <c r="B3" s="3" t="s">
        <v>8</v>
      </c>
      <c r="C3" s="5">
        <v>0.34699999999999998</v>
      </c>
      <c r="D3" s="5">
        <v>0.34454699999999999</v>
      </c>
      <c r="E3" s="5">
        <f>$K$3*C3</f>
        <v>1.7349999999999999</v>
      </c>
      <c r="F3" s="5">
        <f>E3*$K$2</f>
        <v>0.84667999999999988</v>
      </c>
      <c r="G3" s="5">
        <f>$K$3*D3*$K$2</f>
        <v>0.84069467999999992</v>
      </c>
      <c r="H3" s="3" t="str">
        <f>IF(G3&lt;1,"Por debajo del reemplazo",IF(G3=1,"En reemplazo","Por arriba del reemplazo"))</f>
        <v>Por debajo del reemplazo</v>
      </c>
      <c r="I3" s="7" t="s">
        <v>24</v>
      </c>
      <c r="J3" s="7"/>
      <c r="K3" s="5">
        <v>5</v>
      </c>
    </row>
  </sheetData>
  <mergeCells count="3">
    <mergeCell ref="I1:J1"/>
    <mergeCell ref="I2:J2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tabSelected="1" workbookViewId="0"/>
  </sheetViews>
  <sheetFormatPr baseColWidth="10" defaultColWidth="9" defaultRowHeight="14.25"/>
  <cols>
    <col min="1" max="4" width="18" customWidth="1"/>
  </cols>
  <sheetData>
    <row r="1" spans="1:4" ht="15">
      <c r="A1" s="1" t="s">
        <v>6</v>
      </c>
      <c r="B1" s="1" t="s">
        <v>8</v>
      </c>
      <c r="C1" s="1" t="s">
        <v>16</v>
      </c>
      <c r="D1" s="1" t="s">
        <v>17</v>
      </c>
    </row>
    <row r="2" spans="1:4">
      <c r="A2" t="s">
        <v>9</v>
      </c>
      <c r="B2" s="4">
        <v>4.2000000000000003E-2</v>
      </c>
      <c r="C2" s="4">
        <v>0.06</v>
      </c>
      <c r="D2" s="4">
        <v>8.0000000000000002E-3</v>
      </c>
    </row>
    <row r="3" spans="1:4">
      <c r="A3" t="s">
        <v>10</v>
      </c>
      <c r="B3" s="4">
        <v>8.5999999999999993E-2</v>
      </c>
      <c r="C3" s="4">
        <v>0.105</v>
      </c>
      <c r="D3" s="4">
        <v>2.7E-2</v>
      </c>
    </row>
    <row r="4" spans="1:4">
      <c r="A4" t="s">
        <v>11</v>
      </c>
      <c r="B4" s="4">
        <v>9.2999999999999999E-2</v>
      </c>
      <c r="C4" s="4">
        <v>0.1</v>
      </c>
      <c r="D4" s="4">
        <v>6.2E-2</v>
      </c>
    </row>
    <row r="5" spans="1:4">
      <c r="A5" t="s">
        <v>12</v>
      </c>
      <c r="B5" s="4">
        <v>7.2999999999999995E-2</v>
      </c>
      <c r="C5" s="4">
        <v>7.0000000000000007E-2</v>
      </c>
      <c r="D5" s="4">
        <v>8.7999999999999995E-2</v>
      </c>
    </row>
    <row r="6" spans="1:4">
      <c r="A6" t="s">
        <v>13</v>
      </c>
      <c r="B6" s="4">
        <v>0.04</v>
      </c>
      <c r="C6" s="4">
        <v>3.5000000000000003E-2</v>
      </c>
      <c r="D6" s="4">
        <v>4.3999999999999997E-2</v>
      </c>
    </row>
    <row r="7" spans="1:4">
      <c r="A7" t="s">
        <v>14</v>
      </c>
      <c r="B7" s="4">
        <v>1.0999999999999999E-2</v>
      </c>
      <c r="C7" s="4">
        <v>0.01</v>
      </c>
      <c r="D7" s="4">
        <v>0.01</v>
      </c>
    </row>
    <row r="8" spans="1:4">
      <c r="A8" t="s">
        <v>15</v>
      </c>
      <c r="B8" s="4">
        <v>2E-3</v>
      </c>
      <c r="C8" s="4">
        <v>1.5E-3</v>
      </c>
      <c r="D8" s="4">
        <v>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TEFE_2010_2019</vt:lpstr>
      <vt:lpstr>Calculos_TGF_TBR_TNR</vt:lpstr>
      <vt:lpstr>Grafica_TEFE_2019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Atza Alcibar</dc:creator>
  <cp:lastModifiedBy>agustin alcibar</cp:lastModifiedBy>
  <dcterms:created xsi:type="dcterms:W3CDTF">2026-06-06T16:36:08Z</dcterms:created>
  <dcterms:modified xsi:type="dcterms:W3CDTF">2026-06-06T16:36:08Z</dcterms:modified>
</cp:coreProperties>
</file>